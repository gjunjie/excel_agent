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15" windowHeight="10185" tabRatio="600" firstSheet="0" activeTab="0" autoFilterDateGrouping="1"/>
  </bookViews>
  <sheets>
    <sheet name="October" sheetId="1" state="visible" r:id="rId1"/>
    <sheet name="Ma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_ "/>
    <numFmt numFmtId="166" formatCode="0.00_ "/>
    <numFmt numFmtId="167" formatCode="yyyy&quot;年&quot;m&quot;月&quot;;@"/>
  </numFmts>
  <fonts count="28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color rgb="FF000000"/>
      <sz val="12"/>
    </font>
    <font>
      <name val="宋体"/>
      <charset val="134"/>
      <color rgb="FF000000"/>
      <sz val="11"/>
    </font>
    <font>
      <name val="宋体"/>
      <charset val="134"/>
      <color indexed="8"/>
      <sz val="11"/>
    </font>
    <font>
      <name val="宋体"/>
      <charset val="134"/>
      <color rgb="FF000000"/>
      <sz val="10"/>
    </font>
    <font>
      <name val="宋体"/>
      <charset val="134"/>
      <sz val="11"/>
      <scheme val="major"/>
    </font>
    <font>
      <name val="宋体"/>
      <charset val="134"/>
      <sz val="11"/>
    </font>
    <font>
      <name val="宋体"/>
      <charset val="134"/>
      <color indexed="8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3" borderId="10" applyAlignment="1">
      <alignment vertical="center"/>
    </xf>
    <xf numFmtId="0" fontId="18" fillId="4" borderId="11" applyAlignment="1">
      <alignment vertical="center"/>
    </xf>
    <xf numFmtId="0" fontId="19" fillId="4" borderId="10" applyAlignment="1">
      <alignment vertical="center"/>
    </xf>
    <xf numFmtId="0" fontId="20" fillId="5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4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49">
      <alignment horizontal="right" vertical="center"/>
    </xf>
    <xf numFmtId="165" fontId="4" fillId="0" borderId="1" applyAlignment="1" pivotButton="0" quotePrefix="0" xfId="49">
      <alignment horizontal="right" vertical="center"/>
    </xf>
    <xf numFmtId="166" fontId="4" fillId="0" borderId="1" applyAlignment="1" pivotButton="0" quotePrefix="0" xfId="49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67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2" applyAlignment="1" pivotButton="0" quotePrefix="0" xfId="0">
      <alignment horizontal="center" vertical="center" wrapText="1"/>
    </xf>
    <xf numFmtId="166" fontId="3" fillId="0" borderId="1" applyAlignment="1" pivotButton="0" quotePrefix="0" xfId="0">
      <alignment vertical="center" wrapText="1"/>
    </xf>
    <xf numFmtId="165" fontId="4" fillId="0" borderId="1" applyAlignment="1" pivotButton="0" quotePrefix="0" xfId="49">
      <alignment horizontal="right" vertical="center"/>
    </xf>
    <xf numFmtId="166" fontId="4" fillId="0" borderId="1" applyAlignment="1" pivotButton="0" quotePrefix="0" xfId="49">
      <alignment horizontal="right" vertical="center"/>
    </xf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164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workbookViewId="0">
      <selection activeCell="N5" sqref="N5"/>
    </sheetView>
  </sheetViews>
  <sheetFormatPr baseColWidth="8" defaultColWidth="9" defaultRowHeight="14.25"/>
  <cols>
    <col width="9" customWidth="1" style="1" min="1" max="1"/>
    <col width="9.366666666666671" customWidth="1" style="1" min="2" max="2"/>
    <col width="10.45" customWidth="1" style="1" min="3" max="3"/>
    <col width="10.3666666666667" customWidth="1" style="1" min="4" max="5"/>
    <col width="9.18333333333333" customWidth="1" style="1" min="6" max="6"/>
    <col width="10.3666666666667" customWidth="1" style="1" min="7" max="7"/>
    <col width="9" customWidth="1" style="1" min="8" max="11"/>
    <col width="9.18333333333333" customWidth="1" style="1" min="12" max="12"/>
    <col width="9" customWidth="1" style="1" min="13" max="17"/>
    <col width="9.366666666666671" customWidth="1" style="1" min="18" max="18"/>
    <col width="9" customWidth="1" style="1" min="19" max="16384"/>
  </cols>
  <sheetData>
    <row r="1" s="32">
      <c r="A1" s="2" t="n"/>
      <c r="B1" s="33" t="n"/>
      <c r="C1" s="33" t="n"/>
      <c r="D1" s="33" t="n"/>
      <c r="E1" s="34" t="n"/>
      <c r="F1" s="2" t="inlineStr">
        <is>
          <t>prepared by</t>
        </is>
      </c>
      <c r="G1" s="2" t="inlineStr">
        <is>
          <t>Review</t>
        </is>
      </c>
      <c r="H1" s="35" t="n"/>
      <c r="I1" s="35" t="n"/>
      <c r="J1" s="35" t="n"/>
      <c r="K1" s="36" t="n"/>
      <c r="L1" s="2" t="inlineStr">
        <is>
          <t>date</t>
        </is>
      </c>
      <c r="M1" s="26" t="n"/>
    </row>
    <row r="2" s="32">
      <c r="A2" s="37" t="n"/>
      <c r="B2" s="38" t="n"/>
      <c r="C2" s="38" t="n"/>
      <c r="D2" s="38" t="n"/>
      <c r="E2" s="39" t="n"/>
      <c r="F2" s="2" t="inlineStr">
        <is>
          <t>BB</t>
        </is>
      </c>
      <c r="G2" s="2" t="inlineStr">
        <is>
          <t>AAA</t>
        </is>
      </c>
      <c r="H2" s="35" t="n"/>
      <c r="I2" s="35" t="n"/>
      <c r="J2" s="35" t="n"/>
      <c r="K2" s="36" t="n"/>
      <c r="L2" s="40" t="inlineStr">
        <is>
          <t>2023.11.1</t>
        </is>
      </c>
      <c r="M2" s="26" t="n"/>
    </row>
    <row r="3" ht="36" customHeight="1" s="32">
      <c r="A3" s="3" t="inlineStr">
        <is>
          <t>Motor number</t>
        </is>
      </c>
      <c r="B3" s="31" t="inlineStr">
        <is>
          <t>Power generation (kwh)</t>
        </is>
      </c>
      <c r="C3" s="31" t="inlineStr">
        <is>
          <t>Power generation (kwh)</t>
        </is>
      </c>
      <c r="D3" s="4" t="inlineStr">
        <is>
          <t>Hours of power generation</t>
        </is>
      </c>
      <c r="E3" s="4" t="inlineStr">
        <is>
          <t>Motor uptime</t>
        </is>
      </c>
      <c r="F3" s="4" t="inlineStr">
        <is>
          <t>Motor failure hours</t>
        </is>
      </c>
      <c r="G3" s="4" t="inlineStr">
        <is>
          <t>Effective hours of electricity</t>
        </is>
      </c>
      <c r="H3" s="5" t="inlineStr">
        <is>
          <t>Non-motor failure hours</t>
        </is>
      </c>
      <c r="I3" s="35" t="n"/>
      <c r="J3" s="35" t="n"/>
      <c r="K3" s="35" t="n"/>
      <c r="L3" s="4" t="inlineStr">
        <is>
          <t>Motor availability %</t>
        </is>
      </c>
      <c r="M3" s="26" t="n"/>
    </row>
    <row r="4" ht="69" customHeight="1" s="32">
      <c r="A4" s="41" t="n"/>
      <c r="B4" s="3" t="inlineStr">
        <is>
          <t>this month</t>
        </is>
      </c>
      <c r="C4" s="42" t="inlineStr">
        <is>
          <t>this year</t>
        </is>
      </c>
      <c r="D4" s="41" t="n"/>
      <c r="E4" s="41" t="n"/>
      <c r="F4" s="41" t="n"/>
      <c r="G4" s="41" t="n"/>
      <c r="H4" s="17" t="inlineStr">
        <is>
          <t>Service time</t>
        </is>
      </c>
      <c r="I4" s="36" t="n"/>
      <c r="J4" s="4" t="inlineStr">
        <is>
          <t>Manual downtime</t>
        </is>
      </c>
      <c r="K4" s="4" t="inlineStr">
        <is>
          <t>Storm downtime</t>
        </is>
      </c>
      <c r="L4" s="41" t="n"/>
      <c r="M4" s="30" t="n"/>
    </row>
    <row r="5" ht="17" customHeight="1" s="32">
      <c r="A5" s="2" t="inlineStr">
        <is>
          <t>1#</t>
        </is>
      </c>
      <c r="B5" s="10" t="n">
        <v>23752</v>
      </c>
      <c r="C5" s="10" t="n">
        <v>23752</v>
      </c>
      <c r="D5" s="11" t="n">
        <v>391.06</v>
      </c>
      <c r="E5" s="11" t="n">
        <v>743.35</v>
      </c>
      <c r="F5" s="11" t="n">
        <v>0.65</v>
      </c>
      <c r="G5" s="11" t="n">
        <v>594.165</v>
      </c>
      <c r="H5" s="11" t="n">
        <v>0</v>
      </c>
      <c r="I5" s="11" t="n">
        <v>0</v>
      </c>
      <c r="J5" s="11" t="n">
        <v>0</v>
      </c>
      <c r="K5" s="11" t="n">
        <v>0.34</v>
      </c>
      <c r="L5" s="43">
        <f>(744-I5-J5-K5-F5)/(744-I5-J5-K5)%</f>
        <v/>
      </c>
      <c r="M5" s="26" t="n"/>
    </row>
    <row r="6">
      <c r="A6" s="2" t="inlineStr">
        <is>
          <t>2#</t>
        </is>
      </c>
      <c r="B6" s="10" t="n">
        <v>154933</v>
      </c>
      <c r="C6" s="10" t="n">
        <v>154933</v>
      </c>
      <c r="D6" s="11" t="n">
        <v>560.6</v>
      </c>
      <c r="E6" s="11" t="n">
        <v>634.4</v>
      </c>
      <c r="F6" s="11" t="n">
        <v>109.6</v>
      </c>
      <c r="G6" s="11" t="n">
        <v>506.09</v>
      </c>
      <c r="H6" s="11" t="n">
        <v>0</v>
      </c>
      <c r="I6" s="11" t="n">
        <v>0</v>
      </c>
      <c r="J6" s="11" t="n">
        <v>0</v>
      </c>
      <c r="K6" s="11" t="n">
        <v>0</v>
      </c>
      <c r="L6" s="43">
        <f>(744-I6-J6-K6-F6)/(744-I6-J6-K6)%</f>
        <v/>
      </c>
      <c r="M6" s="26" t="n"/>
    </row>
    <row r="7">
      <c r="A7" s="2" t="inlineStr">
        <is>
          <t>3#</t>
        </is>
      </c>
      <c r="B7" s="10" t="n">
        <v>106986</v>
      </c>
      <c r="C7" s="10" t="n">
        <v>106986</v>
      </c>
      <c r="D7" s="11" t="n">
        <v>339.99</v>
      </c>
      <c r="E7" s="11" t="n">
        <v>373.51</v>
      </c>
      <c r="F7" s="11" t="n">
        <v>370.49</v>
      </c>
      <c r="G7" s="11" t="n">
        <v>346.665</v>
      </c>
      <c r="H7" s="11" t="n">
        <v>0</v>
      </c>
      <c r="I7" s="11" t="n">
        <v>0</v>
      </c>
      <c r="J7" s="11" t="n">
        <v>0</v>
      </c>
      <c r="K7" s="11" t="n">
        <v>0</v>
      </c>
      <c r="L7" s="43">
        <f>(744-I7-J7-K7-F7)/(744-I7-J7-K7)%</f>
        <v/>
      </c>
      <c r="M7" s="26" t="n"/>
    </row>
    <row r="8">
      <c r="A8" s="2" t="inlineStr">
        <is>
          <t>4#</t>
        </is>
      </c>
      <c r="B8" s="10" t="n">
        <v>5136</v>
      </c>
      <c r="C8" s="10" t="n">
        <v>5136</v>
      </c>
      <c r="D8" s="11" t="n">
        <v>104.21</v>
      </c>
      <c r="E8" s="11" t="n">
        <v>157.22</v>
      </c>
      <c r="F8" s="11" t="n">
        <v>586.78</v>
      </c>
      <c r="G8" s="11" t="n">
        <v>484.165</v>
      </c>
      <c r="H8" s="11" t="n">
        <v>0</v>
      </c>
      <c r="I8" s="11" t="n">
        <v>0</v>
      </c>
      <c r="J8" s="11" t="n">
        <v>0</v>
      </c>
      <c r="K8" s="11" t="n">
        <v>0</v>
      </c>
      <c r="L8" s="43">
        <f>(744-I8-J8-K8-F8)/(744-I8-J8-K8)%</f>
        <v/>
      </c>
      <c r="M8" s="26" t="n"/>
    </row>
    <row r="9">
      <c r="A9" s="2" t="inlineStr">
        <is>
          <t>5#</t>
        </is>
      </c>
      <c r="B9" s="10" t="n">
        <v>56297</v>
      </c>
      <c r="C9" s="10" t="n">
        <v>56297</v>
      </c>
      <c r="D9" s="11" t="n">
        <v>602.59</v>
      </c>
      <c r="E9" s="11" t="n">
        <v>698.27</v>
      </c>
      <c r="F9" s="11" t="n">
        <v>45.73</v>
      </c>
      <c r="G9" s="11" t="n">
        <v>452.185</v>
      </c>
      <c r="H9" s="11" t="n">
        <v>0</v>
      </c>
      <c r="I9" s="11" t="n">
        <v>0</v>
      </c>
      <c r="J9" s="11" t="n">
        <v>0</v>
      </c>
      <c r="K9" s="11" t="n">
        <v>0</v>
      </c>
      <c r="L9" s="43">
        <f>(744-I9-J9-K9-F9)/(744-I9-J9-K9)%</f>
        <v/>
      </c>
      <c r="M9" s="26" t="n"/>
    </row>
    <row r="10">
      <c r="A10" s="2" t="inlineStr">
        <is>
          <t>6#</t>
        </is>
      </c>
      <c r="B10" s="10" t="n">
        <v>135798</v>
      </c>
      <c r="C10" s="10" t="n">
        <v>135798</v>
      </c>
      <c r="D10" s="11" t="n">
        <v>614.4400000000001</v>
      </c>
      <c r="E10" s="11" t="n">
        <v>738.86</v>
      </c>
      <c r="F10" s="11" t="n">
        <v>5.14</v>
      </c>
      <c r="G10" s="11" t="n">
        <v>460.275</v>
      </c>
      <c r="H10" s="11" t="n">
        <v>0</v>
      </c>
      <c r="I10" s="11" t="n">
        <v>0</v>
      </c>
      <c r="J10" s="11" t="n">
        <v>0</v>
      </c>
      <c r="K10" s="11" t="n">
        <v>0</v>
      </c>
      <c r="L10" s="43">
        <f>(744-I10-J10-K10-F10)/(744-I10-J10-K10)%</f>
        <v/>
      </c>
      <c r="M10" s="26" t="n"/>
    </row>
    <row r="11">
      <c r="A11" s="2" t="inlineStr">
        <is>
          <t>7#</t>
        </is>
      </c>
      <c r="B11" s="10" t="n">
        <v>116711</v>
      </c>
      <c r="C11" s="10" t="n">
        <v>116711</v>
      </c>
      <c r="D11" s="11" t="n">
        <v>406.31</v>
      </c>
      <c r="E11" s="11" t="n">
        <v>440.21</v>
      </c>
      <c r="F11" s="11" t="n">
        <v>303.79</v>
      </c>
      <c r="G11" s="11" t="n">
        <v>457.615</v>
      </c>
      <c r="H11" s="11" t="n">
        <v>0</v>
      </c>
      <c r="I11" s="11" t="n">
        <v>0</v>
      </c>
      <c r="J11" s="11" t="n">
        <v>0</v>
      </c>
      <c r="K11" s="11" t="n">
        <v>0</v>
      </c>
      <c r="L11" s="43">
        <f>(744-I11-J11-K11-F11)/(744-I11-J11-K11)%</f>
        <v/>
      </c>
      <c r="M11" s="26" t="n"/>
    </row>
    <row r="12">
      <c r="A12" s="2" t="inlineStr">
        <is>
          <t>8#</t>
        </is>
      </c>
      <c r="B12" s="10" t="n">
        <v>119323</v>
      </c>
      <c r="C12" s="10" t="n">
        <v>119323</v>
      </c>
      <c r="D12" s="11" t="n">
        <v>384.73</v>
      </c>
      <c r="E12" s="11" t="n">
        <v>499.4</v>
      </c>
      <c r="F12" s="11" t="n">
        <v>244.6</v>
      </c>
      <c r="G12" s="11" t="n">
        <v>518.78</v>
      </c>
      <c r="H12" s="11" t="n">
        <v>0</v>
      </c>
      <c r="I12" s="11" t="n">
        <v>0</v>
      </c>
      <c r="J12" s="11" t="n">
        <v>0</v>
      </c>
      <c r="K12" s="11" t="n">
        <v>0</v>
      </c>
      <c r="L12" s="43">
        <f>(744-I12-J12-K12-F12)/(744-I12-J12-K12)%</f>
        <v/>
      </c>
      <c r="M12" s="26" t="n"/>
    </row>
    <row r="13">
      <c r="A13" s="2" t="inlineStr">
        <is>
          <t>9#</t>
        </is>
      </c>
      <c r="B13" s="10" t="n">
        <v>145737</v>
      </c>
      <c r="C13" s="10" t="n">
        <v>145737</v>
      </c>
      <c r="D13" s="11" t="n">
        <v>676.83</v>
      </c>
      <c r="E13" s="11" t="n">
        <v>743.47</v>
      </c>
      <c r="F13" s="11" t="n">
        <v>0.53</v>
      </c>
      <c r="G13" s="11" t="n">
        <v>509.18</v>
      </c>
      <c r="H13" s="11" t="n">
        <v>0</v>
      </c>
      <c r="I13" s="11" t="n">
        <v>0</v>
      </c>
      <c r="J13" s="11" t="n">
        <v>0</v>
      </c>
      <c r="K13" s="11" t="n">
        <v>0</v>
      </c>
      <c r="L13" s="43">
        <f>(744-I13-J13-K13-F13)/(744-I13-J13-K13)%</f>
        <v/>
      </c>
      <c r="M13" s="26" t="n"/>
    </row>
    <row r="14">
      <c r="A14" s="2" t="inlineStr">
        <is>
          <t>10#</t>
        </is>
      </c>
      <c r="B14" s="10" t="n">
        <v>38865</v>
      </c>
      <c r="C14" s="10" t="n">
        <v>38865</v>
      </c>
      <c r="D14" s="11" t="n">
        <v>253.97</v>
      </c>
      <c r="E14" s="11" t="n">
        <v>339.7</v>
      </c>
      <c r="F14" s="11" t="n">
        <v>404.3</v>
      </c>
      <c r="G14" s="11" t="n">
        <v>387.5725</v>
      </c>
      <c r="H14" s="11" t="n">
        <v>0</v>
      </c>
      <c r="I14" s="11" t="n">
        <v>0</v>
      </c>
      <c r="J14" s="11" t="n">
        <v>0</v>
      </c>
      <c r="K14" s="11" t="n">
        <v>0</v>
      </c>
      <c r="L14" s="43">
        <f>(744-I14-J14-K14-F14)/(744-I14-J14-K14)%</f>
        <v/>
      </c>
      <c r="M14" s="26" t="n"/>
    </row>
    <row r="15">
      <c r="A15" s="2" t="inlineStr">
        <is>
          <t>11#</t>
        </is>
      </c>
      <c r="B15" s="10" t="n">
        <v>0</v>
      </c>
      <c r="C15" s="10" t="n">
        <v>0</v>
      </c>
      <c r="D15" s="11" t="n">
        <v>2</v>
      </c>
      <c r="E15" s="11" t="n">
        <v>0</v>
      </c>
      <c r="F15" s="11" t="n">
        <v>744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43">
        <f>(744-I15-J15-K15-F15)/(744-I15-J15-K15)%</f>
        <v/>
      </c>
      <c r="M15" s="26" t="n"/>
    </row>
    <row r="16">
      <c r="A16" s="2" t="inlineStr">
        <is>
          <t>12#</t>
        </is>
      </c>
      <c r="B16" s="10" t="n">
        <v>161990</v>
      </c>
      <c r="C16" s="10" t="n">
        <v>161990</v>
      </c>
      <c r="D16" s="11" t="n">
        <v>668.8200000000001</v>
      </c>
      <c r="E16" s="11" t="n">
        <v>744</v>
      </c>
      <c r="F16" s="11" t="n">
        <v>0</v>
      </c>
      <c r="G16" s="11" t="n">
        <v>478.31</v>
      </c>
      <c r="H16" s="11" t="n">
        <v>0</v>
      </c>
      <c r="I16" s="11" t="n">
        <v>0</v>
      </c>
      <c r="J16" s="11" t="n">
        <v>0</v>
      </c>
      <c r="K16" s="11" t="n">
        <v>0</v>
      </c>
      <c r="L16" s="43">
        <f>(744-I16-J16-K16-F16)/(744-I16-J16-K16)%</f>
        <v/>
      </c>
      <c r="M16" s="26" t="n"/>
    </row>
    <row r="17">
      <c r="A17" s="2" t="inlineStr">
        <is>
          <t>13#</t>
        </is>
      </c>
      <c r="B17" s="10" t="n">
        <v>101978</v>
      </c>
      <c r="C17" s="10" t="n">
        <v>101978</v>
      </c>
      <c r="D17" s="11" t="n">
        <v>335.84</v>
      </c>
      <c r="E17" s="11" t="n">
        <v>363.97</v>
      </c>
      <c r="F17" s="11" t="n">
        <v>380.03</v>
      </c>
      <c r="G17" s="11" t="n">
        <v>561.6799999999999</v>
      </c>
      <c r="H17" s="11" t="n">
        <v>0</v>
      </c>
      <c r="I17" s="11" t="n">
        <v>0</v>
      </c>
      <c r="J17" s="11" t="n">
        <v>0</v>
      </c>
      <c r="K17" s="11" t="n">
        <v>0</v>
      </c>
      <c r="L17" s="43">
        <f>(744-I17-J17-K17-F17)/(744-I17-J17-K17)%</f>
        <v/>
      </c>
      <c r="M17" s="26" t="n"/>
    </row>
    <row r="18">
      <c r="A18" s="2" t="inlineStr">
        <is>
          <t>14#</t>
        </is>
      </c>
      <c r="B18" s="10" t="n">
        <v>57218</v>
      </c>
      <c r="C18" s="10" t="n">
        <v>57218</v>
      </c>
      <c r="D18" s="11" t="n">
        <v>321.03</v>
      </c>
      <c r="E18" s="11" t="n">
        <v>370.28</v>
      </c>
      <c r="F18" s="11" t="n">
        <v>373.72</v>
      </c>
      <c r="G18" s="11" t="n">
        <v>350.19</v>
      </c>
      <c r="H18" s="11" t="n">
        <v>0</v>
      </c>
      <c r="I18" s="11" t="n">
        <v>0</v>
      </c>
      <c r="J18" s="11" t="n">
        <v>0</v>
      </c>
      <c r="K18" s="11" t="n">
        <v>0</v>
      </c>
      <c r="L18" s="43">
        <f>(744-I18-J18-K18-F18)/(744-I18-J18-K18)%</f>
        <v/>
      </c>
      <c r="M18" s="26" t="n"/>
    </row>
    <row r="19">
      <c r="A19" s="2" t="inlineStr">
        <is>
          <t>15#</t>
        </is>
      </c>
      <c r="B19" s="10" t="n">
        <v>170967</v>
      </c>
      <c r="C19" s="10" t="n">
        <v>170967</v>
      </c>
      <c r="D19" s="11" t="n">
        <v>615.95</v>
      </c>
      <c r="E19" s="11" t="n">
        <v>683.73</v>
      </c>
      <c r="F19" s="11" t="n">
        <v>60.27</v>
      </c>
      <c r="G19" s="11" t="n">
        <v>535.61</v>
      </c>
      <c r="H19" s="11" t="n">
        <v>0</v>
      </c>
      <c r="I19" s="11" t="n">
        <v>0</v>
      </c>
      <c r="J19" s="11" t="n">
        <v>0</v>
      </c>
      <c r="K19" s="11" t="n">
        <v>0</v>
      </c>
      <c r="L19" s="43">
        <f>(744-I19-J19-K19-F19)/(744-I19-J19-K19)%</f>
        <v/>
      </c>
      <c r="M19" s="26" t="n"/>
    </row>
    <row r="20">
      <c r="A20" s="2" t="inlineStr">
        <is>
          <t>16#</t>
        </is>
      </c>
      <c r="B20" s="10" t="n">
        <v>132525</v>
      </c>
      <c r="C20" s="10" t="n">
        <v>132525</v>
      </c>
      <c r="D20" s="11" t="n">
        <v>394.45</v>
      </c>
      <c r="E20" s="11" t="n">
        <v>625.5700000000001</v>
      </c>
      <c r="F20" s="11" t="n">
        <v>118.43</v>
      </c>
      <c r="G20" s="11" t="n">
        <v>365.34</v>
      </c>
      <c r="H20" s="11" t="n">
        <v>0</v>
      </c>
      <c r="I20" s="11" t="n">
        <v>0</v>
      </c>
      <c r="J20" s="11" t="n">
        <v>0</v>
      </c>
      <c r="K20" s="11" t="n">
        <v>0</v>
      </c>
      <c r="L20" s="43">
        <f>(744-I20-J20-K20-F20)/(744-I20-J20-K20)%</f>
        <v/>
      </c>
      <c r="M20" s="26" t="n"/>
    </row>
    <row r="21">
      <c r="A21" s="2" t="inlineStr">
        <is>
          <t>17#</t>
        </is>
      </c>
      <c r="B21" s="10" t="n">
        <v>200392</v>
      </c>
      <c r="C21" s="10" t="n">
        <v>200392</v>
      </c>
      <c r="D21" s="11" t="n">
        <v>667.34</v>
      </c>
      <c r="E21" s="11" t="n">
        <v>732.6799999999999</v>
      </c>
      <c r="F21" s="11" t="n">
        <v>11.32</v>
      </c>
      <c r="G21" s="11" t="n">
        <v>522.335</v>
      </c>
      <c r="H21" s="11" t="n">
        <v>0</v>
      </c>
      <c r="I21" s="11" t="n">
        <v>0</v>
      </c>
      <c r="J21" s="11" t="n">
        <v>0</v>
      </c>
      <c r="K21" s="11" t="n">
        <v>0</v>
      </c>
      <c r="L21" s="43">
        <f>(744-I21-J21-K21-F21)/(744-I21-J21-K21)%</f>
        <v/>
      </c>
      <c r="M21" s="26" t="n"/>
    </row>
    <row r="22">
      <c r="A22" s="2" t="inlineStr">
        <is>
          <t>18#</t>
        </is>
      </c>
      <c r="B22" s="10" t="n">
        <v>157918</v>
      </c>
      <c r="C22" s="10" t="n">
        <v>157918</v>
      </c>
      <c r="D22" s="11" t="n">
        <v>318.3</v>
      </c>
      <c r="E22" s="11" t="n">
        <v>605.17</v>
      </c>
      <c r="F22" s="11" t="n">
        <v>138.83</v>
      </c>
      <c r="G22" s="11" t="n">
        <v>335.315</v>
      </c>
      <c r="H22" s="11" t="n">
        <v>0</v>
      </c>
      <c r="I22" s="11" t="n">
        <v>0</v>
      </c>
      <c r="J22" s="11" t="n">
        <v>0</v>
      </c>
      <c r="K22" s="11" t="n">
        <v>0</v>
      </c>
      <c r="L22" s="43">
        <f>(744-I22-J22-K22-F22)/(744-I22-J22-K22)%</f>
        <v/>
      </c>
      <c r="M22" s="26" t="n"/>
    </row>
    <row r="23">
      <c r="A23" s="2" t="inlineStr">
        <is>
          <t>19#</t>
        </is>
      </c>
      <c r="B23" s="10" t="n">
        <v>0</v>
      </c>
      <c r="C23" s="10" t="n">
        <v>0</v>
      </c>
      <c r="D23" s="11" t="n">
        <v>0</v>
      </c>
      <c r="E23" s="11" t="n">
        <v>0</v>
      </c>
      <c r="F23" s="11" t="n">
        <v>744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43">
        <f>(744-I23-J23-K23-F23)/(744-I23-J23-K23)%</f>
        <v/>
      </c>
      <c r="M23" s="26" t="n"/>
    </row>
    <row r="24">
      <c r="A24" s="2" t="inlineStr">
        <is>
          <t>20#</t>
        </is>
      </c>
      <c r="B24" s="10" t="n">
        <v>52923</v>
      </c>
      <c r="C24" s="10" t="n">
        <v>52923</v>
      </c>
      <c r="D24" s="11" t="n">
        <v>158.67</v>
      </c>
      <c r="E24" s="11" t="n">
        <v>744</v>
      </c>
      <c r="F24" s="11" t="n">
        <v>0</v>
      </c>
      <c r="G24" s="11" t="n">
        <v>100.18</v>
      </c>
      <c r="H24" s="11" t="n">
        <v>0</v>
      </c>
      <c r="I24" s="11" t="n">
        <v>0</v>
      </c>
      <c r="J24" s="11" t="n">
        <v>0</v>
      </c>
      <c r="K24" s="11" t="n">
        <v>0</v>
      </c>
      <c r="L24" s="43">
        <f>(744-I24-J24-K24-F24)/(744-I24-J24-K24)%</f>
        <v/>
      </c>
      <c r="M24" s="26" t="n"/>
    </row>
    <row r="25">
      <c r="A25" s="2" t="inlineStr">
        <is>
          <t>21#</t>
        </is>
      </c>
      <c r="B25" s="10" t="n">
        <v>5175</v>
      </c>
      <c r="C25" s="10" t="n">
        <v>5175</v>
      </c>
      <c r="D25" s="11" t="n">
        <v>4</v>
      </c>
      <c r="E25" s="11" t="n">
        <v>172</v>
      </c>
      <c r="F25" s="11" t="n">
        <v>572</v>
      </c>
      <c r="G25" s="11" t="n">
        <v>141.65</v>
      </c>
      <c r="H25" s="11" t="n">
        <v>0</v>
      </c>
      <c r="I25" s="11" t="n">
        <v>0</v>
      </c>
      <c r="J25" s="11" t="n">
        <v>0</v>
      </c>
      <c r="K25" s="11" t="n">
        <v>0</v>
      </c>
      <c r="L25" s="43">
        <f>(744-I25-J25-K25-F25)/(744-I25-J25-K25)%</f>
        <v/>
      </c>
      <c r="M25" s="26" t="n"/>
    </row>
    <row r="26">
      <c r="A26" s="2" t="inlineStr">
        <is>
          <t>22#</t>
        </is>
      </c>
      <c r="B26" s="10" t="n">
        <v>51770</v>
      </c>
      <c r="C26" s="10" t="n">
        <v>51770</v>
      </c>
      <c r="D26" s="11" t="n">
        <v>179.36</v>
      </c>
      <c r="E26" s="11" t="n">
        <v>723.6900000000001</v>
      </c>
      <c r="F26" s="11" t="n">
        <v>20.31</v>
      </c>
      <c r="G26" s="11" t="n">
        <v>159.555</v>
      </c>
      <c r="H26" s="11" t="n">
        <v>0</v>
      </c>
      <c r="I26" s="11" t="n">
        <v>0</v>
      </c>
      <c r="J26" s="11" t="n">
        <v>0</v>
      </c>
      <c r="K26" s="11" t="n">
        <v>0</v>
      </c>
      <c r="L26" s="43">
        <f>(744-I26-J26-K26-F26)/(744-I26-J26-K26)%</f>
        <v/>
      </c>
      <c r="M26" s="26" t="n"/>
    </row>
    <row r="27">
      <c r="A27" s="2" t="inlineStr">
        <is>
          <t>23#</t>
        </is>
      </c>
      <c r="B27" s="10" t="n">
        <v>25583</v>
      </c>
      <c r="C27" s="10" t="n">
        <v>25583</v>
      </c>
      <c r="D27" s="11" t="n">
        <v>97</v>
      </c>
      <c r="E27" s="11" t="n">
        <v>441.89</v>
      </c>
      <c r="F27" s="11" t="n">
        <v>302.11</v>
      </c>
      <c r="G27" s="11" t="n">
        <v>149.37</v>
      </c>
      <c r="H27" s="11" t="n">
        <v>0</v>
      </c>
      <c r="I27" s="11" t="n">
        <v>0</v>
      </c>
      <c r="J27" s="11" t="n">
        <v>0</v>
      </c>
      <c r="K27" s="11" t="n">
        <v>0</v>
      </c>
      <c r="L27" s="43">
        <f>(744-I27-J27-K27-F27)/(744-I27-J27-K27)%</f>
        <v/>
      </c>
      <c r="M27" s="26" t="n"/>
    </row>
    <row r="28">
      <c r="A28" s="2" t="inlineStr">
        <is>
          <t>24#</t>
        </is>
      </c>
      <c r="B28" s="10" t="n">
        <v>115365</v>
      </c>
      <c r="C28" s="10" t="n">
        <v>115365</v>
      </c>
      <c r="D28" s="11" t="n">
        <v>173.41</v>
      </c>
      <c r="E28" s="11" t="n">
        <v>721.87</v>
      </c>
      <c r="F28" s="11" t="n">
        <v>22.13</v>
      </c>
      <c r="G28" s="11" t="n">
        <v>159.76</v>
      </c>
      <c r="H28" s="11" t="n">
        <v>0</v>
      </c>
      <c r="I28" s="11" t="n">
        <v>0</v>
      </c>
      <c r="J28" s="11" t="n">
        <v>0</v>
      </c>
      <c r="K28" s="11" t="n">
        <v>0</v>
      </c>
      <c r="L28" s="43">
        <f>(744-I28-J28-K28-F28)/(744-I28-J28-K28)%</f>
        <v/>
      </c>
      <c r="M28" s="26" t="n"/>
    </row>
    <row r="29">
      <c r="A29" s="2" t="inlineStr">
        <is>
          <t>25#</t>
        </is>
      </c>
      <c r="B29" s="10" t="n">
        <v>102999</v>
      </c>
      <c r="C29" s="10" t="n">
        <v>102999</v>
      </c>
      <c r="D29" s="11" t="n">
        <v>195.57</v>
      </c>
      <c r="E29" s="11" t="n">
        <v>533</v>
      </c>
      <c r="F29" s="11" t="n">
        <v>211</v>
      </c>
      <c r="G29" s="11" t="n">
        <v>155.05</v>
      </c>
      <c r="H29" s="11" t="n">
        <v>0</v>
      </c>
      <c r="I29" s="11" t="n">
        <v>0</v>
      </c>
      <c r="J29" s="11" t="n">
        <v>0</v>
      </c>
      <c r="K29" s="11" t="n">
        <v>0</v>
      </c>
      <c r="L29" s="43">
        <f>(744-I29-J29-K29-F29)/(744-I29-J29-K29)%</f>
        <v/>
      </c>
      <c r="M29" s="26" t="n"/>
    </row>
    <row r="30">
      <c r="A30" s="2" t="inlineStr">
        <is>
          <t>26#</t>
        </is>
      </c>
      <c r="B30" s="10" t="n">
        <v>135742</v>
      </c>
      <c r="C30" s="10" t="n">
        <v>135742</v>
      </c>
      <c r="D30" s="11" t="n">
        <v>185.94</v>
      </c>
      <c r="E30" s="11" t="n">
        <v>744</v>
      </c>
      <c r="F30" s="11" t="n">
        <v>0</v>
      </c>
      <c r="G30" s="11" t="n">
        <v>146.69</v>
      </c>
      <c r="H30" s="11" t="n">
        <v>0</v>
      </c>
      <c r="I30" s="11" t="n">
        <v>0</v>
      </c>
      <c r="J30" s="11" t="n">
        <v>0</v>
      </c>
      <c r="K30" s="11" t="n">
        <v>0</v>
      </c>
      <c r="L30" s="43">
        <f>(744-I30-J30-K30-F30)/(744-I30-J30-K30)%</f>
        <v/>
      </c>
      <c r="M30" s="26" t="n"/>
    </row>
    <row r="31">
      <c r="A31" s="2" t="inlineStr">
        <is>
          <t>27#</t>
        </is>
      </c>
      <c r="B31" s="10" t="n">
        <v>105167</v>
      </c>
      <c r="C31" s="10" t="n">
        <v>105167</v>
      </c>
      <c r="D31" s="11" t="n">
        <v>87.66</v>
      </c>
      <c r="E31" s="11" t="n">
        <v>629.67</v>
      </c>
      <c r="F31" s="11" t="n">
        <v>114.33</v>
      </c>
      <c r="G31" s="11" t="n">
        <v>168.35</v>
      </c>
      <c r="H31" s="11" t="n">
        <v>0</v>
      </c>
      <c r="I31" s="11" t="n">
        <v>0</v>
      </c>
      <c r="J31" s="11" t="n">
        <v>0</v>
      </c>
      <c r="K31" s="11" t="n">
        <v>0</v>
      </c>
      <c r="L31" s="43">
        <f>(744-I31-J31-K31-F31)/(744-I31-J31-K31)%</f>
        <v/>
      </c>
      <c r="M31" s="26" t="n"/>
    </row>
    <row r="32">
      <c r="A32" s="2" t="inlineStr">
        <is>
          <t>28#</t>
        </is>
      </c>
      <c r="B32" s="10" t="n">
        <v>0</v>
      </c>
      <c r="C32" s="10" t="n">
        <v>0</v>
      </c>
      <c r="D32" s="11" t="n">
        <v>0</v>
      </c>
      <c r="E32" s="11" t="n">
        <v>0</v>
      </c>
      <c r="F32" s="11" t="n">
        <v>744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43">
        <f>(744-I32-J32-K32-F32)/(744-I32-J32-K32)%</f>
        <v/>
      </c>
      <c r="M32" s="26" t="n"/>
    </row>
    <row r="33">
      <c r="A33" s="2" t="inlineStr">
        <is>
          <t>29#</t>
        </is>
      </c>
      <c r="B33" s="10" t="n">
        <v>49216</v>
      </c>
      <c r="C33" s="10" t="n">
        <v>49216</v>
      </c>
      <c r="D33" s="11" t="n">
        <v>93.23</v>
      </c>
      <c r="E33" s="11" t="n">
        <v>415.16</v>
      </c>
      <c r="F33" s="11" t="n">
        <v>328.84</v>
      </c>
      <c r="G33" s="11" t="n">
        <v>166.05</v>
      </c>
      <c r="H33" s="11" t="n">
        <v>0</v>
      </c>
      <c r="I33" s="11" t="n">
        <v>0</v>
      </c>
      <c r="J33" s="11" t="n">
        <v>0</v>
      </c>
      <c r="K33" s="11" t="n">
        <v>0</v>
      </c>
      <c r="L33" s="43">
        <f>(744-I33-J33-K33-F33)/(744-I33-J33-K33)%</f>
        <v/>
      </c>
      <c r="M33" s="26" t="n"/>
    </row>
    <row r="34">
      <c r="A34" s="2" t="inlineStr">
        <is>
          <t>30#</t>
        </is>
      </c>
      <c r="B34" s="10" t="n">
        <v>146974</v>
      </c>
      <c r="C34" s="10" t="n">
        <v>146974</v>
      </c>
      <c r="D34" s="11" t="n">
        <v>199.78</v>
      </c>
      <c r="E34" s="11" t="n">
        <v>744</v>
      </c>
      <c r="F34" s="11" t="n">
        <v>0</v>
      </c>
      <c r="G34" s="11" t="n">
        <v>167</v>
      </c>
      <c r="H34" s="11" t="n">
        <v>0</v>
      </c>
      <c r="I34" s="11" t="n">
        <v>0</v>
      </c>
      <c r="J34" s="11" t="n">
        <v>0</v>
      </c>
      <c r="K34" s="11" t="n">
        <v>0</v>
      </c>
      <c r="L34" s="43">
        <f>(744-I34-J34-K34-F34)/(744-I34-J34-K34)%</f>
        <v/>
      </c>
      <c r="M34" s="26" t="n"/>
    </row>
    <row r="35">
      <c r="A35" s="2" t="inlineStr">
        <is>
          <t>Statistical value</t>
        </is>
      </c>
      <c r="B35" s="12">
        <f>SUM(B5:B34)</f>
        <v/>
      </c>
      <c r="C35" s="44">
        <f>SUM(C5:C34)</f>
        <v/>
      </c>
      <c r="D35" s="12">
        <f>SUM(D5:D34)</f>
        <v/>
      </c>
      <c r="E35" s="12">
        <f>SUM(E5:E34)</f>
        <v/>
      </c>
      <c r="F35" s="12">
        <f>SUM(F5:F34)</f>
        <v/>
      </c>
      <c r="G35" s="45">
        <f>SUM(G5:G34)</f>
        <v/>
      </c>
      <c r="H35" s="12">
        <f>SUM(H5:H34)</f>
        <v/>
      </c>
      <c r="I35" s="12">
        <f>SUM(I5:I34)</f>
        <v/>
      </c>
      <c r="J35" s="12">
        <f>SUM(J5:J34)</f>
        <v/>
      </c>
      <c r="K35" s="12">
        <f>SUM(K5:K34)</f>
        <v/>
      </c>
      <c r="L35" s="43">
        <f>AVERAGE(L5:L34)</f>
        <v/>
      </c>
      <c r="M35" s="26" t="n"/>
    </row>
    <row r="36">
      <c r="A36" s="46" t="n"/>
      <c r="B36" s="15" t="inlineStr">
        <is>
          <t>Cumulative amount</t>
        </is>
      </c>
      <c r="C36" s="15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5" t="inlineStr">
        <is>
          <t>average value</t>
        </is>
      </c>
      <c r="M36" s="26" t="n"/>
    </row>
    <row r="37">
      <c r="A37" s="2" t="n"/>
      <c r="B37" s="15" t="inlineStr">
        <is>
          <t>(kwh)</t>
        </is>
      </c>
      <c r="C37" s="17" t="inlineStr">
        <is>
          <t>this month</t>
        </is>
      </c>
      <c r="D37" s="17" t="inlineStr">
        <is>
          <t>this year</t>
        </is>
      </c>
      <c r="E37" s="18" t="inlineStr">
        <is>
          <t>1. At 7:23 on January 22, communication between 20#-30# was interrupted. The reason has not yet been identified.</t>
        </is>
      </c>
      <c r="F37" s="33" t="n"/>
      <c r="G37" s="33" t="n"/>
      <c r="H37" s="33" t="n"/>
      <c r="I37" s="33" t="n"/>
      <c r="J37" s="33" t="n"/>
      <c r="K37" s="33" t="n"/>
      <c r="L37" s="34" t="n"/>
      <c r="M37" s="30" t="n"/>
      <c r="N37" s="26" t="n"/>
    </row>
    <row r="38">
      <c r="A38" s="41" t="n"/>
      <c r="B38" s="15" t="inlineStr">
        <is>
          <t>Outgoing power</t>
        </is>
      </c>
      <c r="C38" s="19" t="n">
        <v>2530920</v>
      </c>
      <c r="D38" s="19" t="n">
        <v>2530920</v>
      </c>
      <c r="E38" s="47" t="n"/>
      <c r="L38" s="48" t="n"/>
      <c r="M38" s="30" t="n"/>
      <c r="N38" s="26" t="n"/>
    </row>
    <row r="39" s="32">
      <c r="A39" s="41" t="n"/>
      <c r="B39" s="15" t="inlineStr">
        <is>
          <t>End of game power</t>
        </is>
      </c>
      <c r="C39" s="49" t="n">
        <v>46620</v>
      </c>
      <c r="D39" s="49" t="n">
        <v>46620</v>
      </c>
      <c r="E39" s="47" t="n"/>
      <c r="L39" s="48" t="n"/>
      <c r="M39" s="30" t="n"/>
      <c r="N39" s="26" t="n"/>
    </row>
    <row r="40" s="32">
      <c r="A40" s="41" t="n"/>
      <c r="B40" s="15" t="inlineStr">
        <is>
          <t>Power generation</t>
        </is>
      </c>
      <c r="C40" s="50">
        <f>B35</f>
        <v/>
      </c>
      <c r="D40" s="50">
        <f>C35</f>
        <v/>
      </c>
      <c r="E40" s="47" t="n"/>
      <c r="L40" s="48" t="n"/>
      <c r="M40" s="30" t="n"/>
      <c r="N40" s="26" t="n"/>
    </row>
    <row r="41" ht="24" customHeight="1" s="32">
      <c r="A41" s="41" t="n"/>
      <c r="B41" s="15" t="inlineStr">
        <is>
          <t>Comprehensive site electricity consumption</t>
        </is>
      </c>
      <c r="C41" s="51">
        <f>C40-C38+C39</f>
        <v/>
      </c>
      <c r="D41" s="50">
        <f>D40-D38+D39</f>
        <v/>
      </c>
      <c r="E41" s="47" t="n"/>
      <c r="L41" s="48" t="n"/>
      <c r="M41" s="30" t="n"/>
      <c r="N41" s="26" t="n"/>
    </row>
    <row r="42" ht="24" customHeight="1" s="32">
      <c r="A42" s="41" t="n"/>
      <c r="B42" s="15" t="inlineStr">
        <is>
          <t>Comprehensive field electricity consumption rate</t>
        </is>
      </c>
      <c r="C42" s="23">
        <f>SUM(C41/C40)</f>
        <v/>
      </c>
      <c r="D42" s="23">
        <f>SUM(D41/D40)</f>
        <v/>
      </c>
      <c r="E42" s="37" t="n"/>
      <c r="F42" s="38" t="n"/>
      <c r="G42" s="38" t="n"/>
      <c r="H42" s="38" t="n"/>
      <c r="I42" s="38" t="n"/>
      <c r="J42" s="38" t="n"/>
      <c r="K42" s="38" t="n"/>
      <c r="L42" s="39" t="n"/>
      <c r="M42" s="30" t="n"/>
      <c r="N42" s="26" t="n"/>
    </row>
    <row r="43">
      <c r="A43" s="46" t="n"/>
      <c r="B43" s="15" t="inlineStr">
        <is>
          <t>Unsettled electricity</t>
        </is>
      </c>
      <c r="C43" s="17">
        <f>C38</f>
        <v/>
      </c>
      <c r="D43" s="36" t="n"/>
      <c r="E43" s="17" t="n"/>
      <c r="F43" s="52" t="n">
        <v>6.05</v>
      </c>
      <c r="G43" s="43" t="inlineStr">
        <is>
          <t>m/s</t>
        </is>
      </c>
      <c r="H43" s="43" t="n"/>
      <c r="I43" s="43" t="n"/>
      <c r="J43" s="43" t="n"/>
      <c r="K43" s="43" t="n"/>
      <c r="L43" s="43" t="n"/>
      <c r="M43" s="30" t="n"/>
      <c r="N43" s="26" t="n"/>
    </row>
  </sheetData>
  <mergeCells count="15">
    <mergeCell ref="C43:D43"/>
    <mergeCell ref="A35:A36"/>
    <mergeCell ref="H3:K3"/>
    <mergeCell ref="L3:L4"/>
    <mergeCell ref="A3:A4"/>
    <mergeCell ref="G2:K2"/>
    <mergeCell ref="E3:E4"/>
    <mergeCell ref="G1:K1"/>
    <mergeCell ref="G3:G4"/>
    <mergeCell ref="A37:A43"/>
    <mergeCell ref="D3:D4"/>
    <mergeCell ref="F3:F4"/>
    <mergeCell ref="A1:E2"/>
    <mergeCell ref="H4:I4"/>
    <mergeCell ref="E37:L4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:L4"/>
    </sheetView>
  </sheetViews>
  <sheetFormatPr baseColWidth="8" defaultColWidth="9" defaultRowHeight="14.25"/>
  <cols>
    <col width="9" customWidth="1" style="1" min="1" max="1"/>
    <col width="9.366666666666671" customWidth="1" style="1" min="2" max="2"/>
    <col width="10.45" customWidth="1" style="1" min="3" max="3"/>
    <col width="10.3666666666667" customWidth="1" style="1" min="4" max="5"/>
    <col width="9.18333333333333" customWidth="1" style="1" min="6" max="6"/>
    <col width="10.3666666666667" customWidth="1" style="1" min="7" max="7"/>
    <col width="9" customWidth="1" style="1" min="8" max="11"/>
    <col width="9.18333333333333" customWidth="1" style="1" min="12" max="12"/>
    <col width="9" customWidth="1" style="1" min="13" max="16384"/>
  </cols>
  <sheetData>
    <row r="1" s="32">
      <c r="A1" s="2" t="n"/>
      <c r="B1" s="33" t="n"/>
      <c r="C1" s="33" t="n"/>
      <c r="D1" s="33" t="n"/>
      <c r="E1" s="34" t="n"/>
      <c r="F1" s="2" t="inlineStr">
        <is>
          <t>prepared by</t>
        </is>
      </c>
      <c r="G1" s="2" t="inlineStr">
        <is>
          <t>Review</t>
        </is>
      </c>
      <c r="H1" s="35" t="n"/>
      <c r="I1" s="35" t="n"/>
      <c r="J1" s="35" t="n"/>
      <c r="K1" s="36" t="n"/>
      <c r="L1" s="2" t="inlineStr">
        <is>
          <t>date</t>
        </is>
      </c>
      <c r="M1" s="26" t="n"/>
    </row>
    <row r="2" s="32">
      <c r="A2" s="37" t="n"/>
      <c r="B2" s="38" t="n"/>
      <c r="C2" s="38" t="n"/>
      <c r="D2" s="38" t="n"/>
      <c r="E2" s="39" t="n"/>
      <c r="F2" s="2" t="inlineStr">
        <is>
          <t>BB</t>
        </is>
      </c>
      <c r="G2" s="2" t="inlineStr">
        <is>
          <t>AAA</t>
        </is>
      </c>
      <c r="H2" s="35" t="n"/>
      <c r="I2" s="35" t="n"/>
      <c r="J2" s="35" t="n"/>
      <c r="K2" s="36" t="n"/>
      <c r="L2" s="40" t="inlineStr">
        <is>
          <t>2023.11.1</t>
        </is>
      </c>
      <c r="M2" s="26" t="n"/>
    </row>
    <row r="3" s="32">
      <c r="A3" s="3" t="inlineStr">
        <is>
          <t>Motor number</t>
        </is>
      </c>
      <c r="B3" s="2" t="inlineStr">
        <is>
          <t>Power generation (kwh)</t>
        </is>
      </c>
      <c r="C3" s="36" t="n"/>
      <c r="D3" s="4" t="inlineStr">
        <is>
          <t>Hours of power generation</t>
        </is>
      </c>
      <c r="E3" s="4" t="inlineStr">
        <is>
          <t>Motor uptime</t>
        </is>
      </c>
      <c r="F3" s="4" t="inlineStr">
        <is>
          <t>Motor failure hours</t>
        </is>
      </c>
      <c r="G3" s="4" t="inlineStr">
        <is>
          <t>Effective hours of electricity</t>
        </is>
      </c>
      <c r="H3" s="5" t="inlineStr">
        <is>
          <t>Non-motor failure hours</t>
        </is>
      </c>
      <c r="I3" s="35" t="n"/>
      <c r="J3" s="35" t="n"/>
      <c r="K3" s="35" t="n"/>
      <c r="L3" s="4" t="inlineStr">
        <is>
          <t>Motor availability %</t>
        </is>
      </c>
      <c r="M3" s="26" t="n"/>
    </row>
    <row r="4" ht="27" customHeight="1" s="32">
      <c r="A4" s="41" t="n"/>
      <c r="B4" s="3" t="inlineStr">
        <is>
          <t>this month</t>
        </is>
      </c>
      <c r="C4" s="42" t="inlineStr">
        <is>
          <t>this year</t>
        </is>
      </c>
      <c r="D4" s="41" t="n"/>
      <c r="E4" s="41" t="n"/>
      <c r="F4" s="41" t="n"/>
      <c r="G4" s="41" t="n"/>
      <c r="H4" s="17" t="inlineStr">
        <is>
          <t>Service time</t>
        </is>
      </c>
      <c r="I4" s="36" t="n"/>
      <c r="J4" s="4" t="inlineStr">
        <is>
          <t>Manual downtime</t>
        </is>
      </c>
      <c r="K4" s="4" t="inlineStr">
        <is>
          <t>Storm downtime</t>
        </is>
      </c>
      <c r="L4" s="41" t="n"/>
      <c r="M4" s="30" t="n"/>
    </row>
    <row r="5">
      <c r="A5" s="2" t="inlineStr">
        <is>
          <t>1#</t>
        </is>
      </c>
      <c r="B5" s="10" t="n">
        <v>113845</v>
      </c>
      <c r="C5" s="10" t="n">
        <v>137597</v>
      </c>
      <c r="D5" s="11" t="n">
        <v>371.57</v>
      </c>
      <c r="E5" s="11" t="n">
        <v>604.35</v>
      </c>
      <c r="F5" s="11" t="n">
        <v>91.65000000000001</v>
      </c>
      <c r="G5" s="11" t="n">
        <v>655.3049999999999</v>
      </c>
      <c r="H5" s="11" t="n">
        <v>0</v>
      </c>
      <c r="I5" s="11" t="n">
        <v>0</v>
      </c>
      <c r="J5" s="11" t="n">
        <v>0</v>
      </c>
      <c r="K5" s="11" t="n">
        <v>0</v>
      </c>
      <c r="L5" s="43">
        <f>(696-I5-J5-K5-F5)/(696-I5-J5-K5)%</f>
        <v/>
      </c>
      <c r="M5" s="26" t="n"/>
    </row>
    <row r="6">
      <c r="A6" s="2" t="inlineStr">
        <is>
          <t>2#</t>
        </is>
      </c>
      <c r="B6" s="10" t="n">
        <v>228520</v>
      </c>
      <c r="C6" s="10" t="n">
        <v>383453</v>
      </c>
      <c r="D6" s="11" t="n">
        <v>642.4299999999999</v>
      </c>
      <c r="E6" s="11" t="n">
        <v>653.48</v>
      </c>
      <c r="F6" s="11" t="n">
        <v>42.52</v>
      </c>
      <c r="G6" s="11" t="n">
        <v>607.4782</v>
      </c>
      <c r="H6" s="11" t="n">
        <v>0</v>
      </c>
      <c r="I6" s="11" t="n">
        <v>0</v>
      </c>
      <c r="J6" s="11" t="n">
        <v>0</v>
      </c>
      <c r="K6" s="11" t="n">
        <v>0</v>
      </c>
      <c r="L6" s="43">
        <f>(696-I6-J6-K6-F6)/(696-I6-J6-K6)%</f>
        <v/>
      </c>
      <c r="M6" s="26" t="n"/>
    </row>
    <row r="7">
      <c r="A7" s="2" t="inlineStr">
        <is>
          <t>3#</t>
        </is>
      </c>
      <c r="B7" s="10" t="n">
        <v>143406</v>
      </c>
      <c r="C7" s="10" t="n">
        <v>250392</v>
      </c>
      <c r="D7" s="11" t="n">
        <v>453.79</v>
      </c>
      <c r="E7" s="11" t="n">
        <v>519.25</v>
      </c>
      <c r="F7" s="11" t="n">
        <v>176.75</v>
      </c>
      <c r="G7" s="11" t="n">
        <v>561.255</v>
      </c>
      <c r="H7" s="11" t="n">
        <v>0</v>
      </c>
      <c r="I7" s="11" t="n">
        <v>0</v>
      </c>
      <c r="J7" s="11" t="n">
        <v>0</v>
      </c>
      <c r="K7" s="11" t="n">
        <v>0</v>
      </c>
      <c r="L7" s="43">
        <f>(696-I7-J7-K7-F7)/(696-I7-J7-K7)%</f>
        <v/>
      </c>
      <c r="M7" s="26" t="n"/>
    </row>
    <row r="8">
      <c r="A8" s="2" t="inlineStr">
        <is>
          <t>4#</t>
        </is>
      </c>
      <c r="B8" s="10" t="n">
        <v>155366</v>
      </c>
      <c r="C8" s="10" t="n">
        <v>160502</v>
      </c>
      <c r="D8" s="11" t="n">
        <v>645.83</v>
      </c>
      <c r="E8" s="11" t="n">
        <v>667.22</v>
      </c>
      <c r="F8" s="11" t="n">
        <v>28.78</v>
      </c>
      <c r="G8" s="11" t="n">
        <v>566.03</v>
      </c>
      <c r="H8" s="11" t="n">
        <v>0</v>
      </c>
      <c r="I8" s="11" t="n">
        <v>0</v>
      </c>
      <c r="J8" s="11" t="n">
        <v>0</v>
      </c>
      <c r="K8" s="11" t="n">
        <v>0</v>
      </c>
      <c r="L8" s="43">
        <f>(696-I8-J8-K8-F8)/(696-I8-J8-K8)%</f>
        <v/>
      </c>
      <c r="M8" s="26" t="n"/>
    </row>
    <row r="9">
      <c r="A9" s="2" t="inlineStr">
        <is>
          <t>5#</t>
        </is>
      </c>
      <c r="B9" s="10" t="n">
        <v>80298</v>
      </c>
      <c r="C9" s="10" t="n">
        <v>136595</v>
      </c>
      <c r="D9" s="11" t="n">
        <v>599.34</v>
      </c>
      <c r="E9" s="11" t="n">
        <v>631.03</v>
      </c>
      <c r="F9" s="11" t="n">
        <v>64.97</v>
      </c>
      <c r="G9" s="11" t="n">
        <v>544.38</v>
      </c>
      <c r="H9" s="11" t="n">
        <v>0</v>
      </c>
      <c r="I9" s="11" t="n">
        <v>0</v>
      </c>
      <c r="J9" s="11" t="n">
        <v>0</v>
      </c>
      <c r="K9" s="11" t="n">
        <v>0</v>
      </c>
      <c r="L9" s="43">
        <f>(696-I9-J9-K9-F9)/(696-I9-J9-K9)%</f>
        <v/>
      </c>
      <c r="M9" s="26" t="n"/>
    </row>
    <row r="10">
      <c r="A10" s="2" t="inlineStr">
        <is>
          <t>6#</t>
        </is>
      </c>
      <c r="B10" s="10" t="n">
        <v>194328</v>
      </c>
      <c r="C10" s="10" t="n">
        <v>330126</v>
      </c>
      <c r="D10" s="11" t="n">
        <v>669.28</v>
      </c>
      <c r="E10" s="11" t="n">
        <v>691.41</v>
      </c>
      <c r="F10" s="11" t="n">
        <v>4.59</v>
      </c>
      <c r="G10" s="11" t="n">
        <v>570.0599999999999</v>
      </c>
      <c r="H10" s="11" t="n">
        <v>0</v>
      </c>
      <c r="I10" s="11" t="n">
        <v>0</v>
      </c>
      <c r="J10" s="11" t="n">
        <v>0</v>
      </c>
      <c r="K10" s="11" t="n">
        <v>0</v>
      </c>
      <c r="L10" s="43">
        <f>(696-I10-J10-K10-F10)/(696-I10-J10-K10)%</f>
        <v/>
      </c>
      <c r="M10" s="26" t="n"/>
    </row>
    <row r="11">
      <c r="A11" s="2" t="inlineStr">
        <is>
          <t>7#</t>
        </is>
      </c>
      <c r="B11" s="10" t="n">
        <v>156359</v>
      </c>
      <c r="C11" s="10" t="n">
        <v>273070</v>
      </c>
      <c r="D11" s="11" t="n">
        <v>559.72</v>
      </c>
      <c r="E11" s="11" t="n">
        <v>610.4</v>
      </c>
      <c r="F11" s="11" t="n">
        <v>85.59999999999999</v>
      </c>
      <c r="G11" s="11" t="n">
        <v>582.17</v>
      </c>
      <c r="H11" s="11" t="n">
        <v>0</v>
      </c>
      <c r="I11" s="11" t="n">
        <v>0</v>
      </c>
      <c r="J11" s="11" t="n">
        <v>0</v>
      </c>
      <c r="K11" s="11" t="n">
        <v>0</v>
      </c>
      <c r="L11" s="43">
        <f>(696-I11-J11-K11-F11)/(696-I11-J11-K11)%</f>
        <v/>
      </c>
      <c r="M11" s="26" t="n"/>
    </row>
    <row r="12">
      <c r="A12" s="2" t="inlineStr">
        <is>
          <t>8#</t>
        </is>
      </c>
      <c r="B12" s="10" t="n">
        <v>103593</v>
      </c>
      <c r="C12" s="10" t="n">
        <v>222916</v>
      </c>
      <c r="D12" s="11" t="n">
        <v>375.4</v>
      </c>
      <c r="E12" s="11" t="n">
        <v>445.97</v>
      </c>
      <c r="F12" s="11" t="n">
        <v>250.03</v>
      </c>
      <c r="G12" s="11" t="n">
        <v>619.9299999999999</v>
      </c>
      <c r="H12" s="11" t="n">
        <v>0</v>
      </c>
      <c r="I12" s="11" t="n">
        <v>0</v>
      </c>
      <c r="J12" s="11" t="n">
        <v>0</v>
      </c>
      <c r="K12" s="11" t="n">
        <v>0</v>
      </c>
      <c r="L12" s="43">
        <f>(696-I12-J12-K12-F12)/(696-I12-J12-K12)%</f>
        <v/>
      </c>
      <c r="M12" s="26" t="n"/>
    </row>
    <row r="13">
      <c r="A13" s="2" t="inlineStr">
        <is>
          <t>9#</t>
        </is>
      </c>
      <c r="B13" s="10" t="n">
        <v>207247</v>
      </c>
      <c r="C13" s="10" t="n">
        <v>352984</v>
      </c>
      <c r="D13" s="11" t="n">
        <v>684.45</v>
      </c>
      <c r="E13" s="11" t="n">
        <v>695.79</v>
      </c>
      <c r="F13" s="11" t="n">
        <v>0.21</v>
      </c>
      <c r="G13" s="11" t="n">
        <v>638.845</v>
      </c>
      <c r="H13" s="11" t="n">
        <v>0</v>
      </c>
      <c r="I13" s="11" t="n">
        <v>0</v>
      </c>
      <c r="J13" s="11" t="n">
        <v>0</v>
      </c>
      <c r="K13" s="11" t="n">
        <v>0</v>
      </c>
      <c r="L13" s="43">
        <f>(696-I13-J13-K13-F13)/(696-I13-J13-K13)%</f>
        <v/>
      </c>
      <c r="M13" s="26" t="n"/>
    </row>
    <row r="14">
      <c r="A14" s="2" t="inlineStr">
        <is>
          <t>10#</t>
        </is>
      </c>
      <c r="B14" s="10" t="n">
        <v>182766</v>
      </c>
      <c r="C14" s="10" t="n">
        <v>221631</v>
      </c>
      <c r="D14" s="11" t="n">
        <v>680.13</v>
      </c>
      <c r="E14" s="11" t="n">
        <v>695.79</v>
      </c>
      <c r="F14" s="11" t="n">
        <v>0.21</v>
      </c>
      <c r="G14" s="11" t="n">
        <v>575.9563000000001</v>
      </c>
      <c r="H14" s="11" t="n">
        <v>0</v>
      </c>
      <c r="I14" s="11" t="n">
        <v>0</v>
      </c>
      <c r="J14" s="11" t="n">
        <v>0</v>
      </c>
      <c r="K14" s="11" t="n">
        <v>0</v>
      </c>
      <c r="L14" s="43">
        <f>(696-I14-J14-K14-F14)/(696-I14-J14-K14)%</f>
        <v/>
      </c>
      <c r="M14" s="26" t="n"/>
    </row>
    <row r="15">
      <c r="A15" s="2" t="inlineStr">
        <is>
          <t>11#</t>
        </is>
      </c>
      <c r="B15" s="10" t="n">
        <v>0</v>
      </c>
      <c r="C15" s="10" t="n">
        <v>0</v>
      </c>
      <c r="D15" s="11" t="n">
        <v>0</v>
      </c>
      <c r="E15" s="11" t="n">
        <v>0</v>
      </c>
      <c r="F15" s="11" t="n">
        <v>696</v>
      </c>
      <c r="G15" s="11" t="n">
        <v>24</v>
      </c>
      <c r="H15" s="11" t="n">
        <v>0</v>
      </c>
      <c r="I15" s="11" t="n">
        <v>0</v>
      </c>
      <c r="J15" s="11" t="n">
        <v>0</v>
      </c>
      <c r="K15" s="11" t="n">
        <v>0</v>
      </c>
      <c r="L15" s="43">
        <f>(696-I15-J15-K15-F15)/(696-I15-J15-K15)%</f>
        <v/>
      </c>
      <c r="M15" s="26" t="n"/>
    </row>
    <row r="16">
      <c r="A16" s="2" t="inlineStr">
        <is>
          <t>12#</t>
        </is>
      </c>
      <c r="B16" s="10" t="n">
        <v>172294</v>
      </c>
      <c r="C16" s="10" t="n">
        <v>334284</v>
      </c>
      <c r="D16" s="11" t="n">
        <v>588.17</v>
      </c>
      <c r="E16" s="11" t="n">
        <v>623.1900000000001</v>
      </c>
      <c r="F16" s="11" t="n">
        <v>72.81</v>
      </c>
      <c r="G16" s="11" t="n">
        <v>575.975</v>
      </c>
      <c r="H16" s="11" t="n">
        <v>0</v>
      </c>
      <c r="I16" s="11" t="n">
        <v>0</v>
      </c>
      <c r="J16" s="11" t="n">
        <v>0</v>
      </c>
      <c r="K16" s="11" t="n">
        <v>0</v>
      </c>
      <c r="L16" s="43">
        <f>(696-I16-J16-K16-F16)/(696-I16-J16-K16)%</f>
        <v/>
      </c>
      <c r="M16" s="26" t="n"/>
    </row>
    <row r="17">
      <c r="A17" s="2" t="inlineStr">
        <is>
          <t>13#</t>
        </is>
      </c>
      <c r="B17" s="10" t="n">
        <v>262908</v>
      </c>
      <c r="C17" s="10" t="n">
        <v>364886</v>
      </c>
      <c r="D17" s="11" t="n">
        <v>661.9</v>
      </c>
      <c r="E17" s="11" t="n">
        <v>677.62</v>
      </c>
      <c r="F17" s="11" t="n">
        <v>18.38</v>
      </c>
      <c r="G17" s="11" t="n">
        <v>649.35</v>
      </c>
      <c r="H17" s="11" t="n">
        <v>0</v>
      </c>
      <c r="I17" s="11" t="n">
        <v>0</v>
      </c>
      <c r="J17" s="11" t="n">
        <v>0</v>
      </c>
      <c r="K17" s="11" t="n">
        <v>0</v>
      </c>
      <c r="L17" s="43">
        <f>(696-I17-J17-K17-F17)/(696-I17-J17-K17)%</f>
        <v/>
      </c>
      <c r="M17" s="26" t="n"/>
    </row>
    <row r="18">
      <c r="A18" s="2" t="inlineStr">
        <is>
          <t>14#</t>
        </is>
      </c>
      <c r="B18" s="10" t="n">
        <v>127836</v>
      </c>
      <c r="C18" s="10" t="n">
        <v>185054</v>
      </c>
      <c r="D18" s="11" t="n">
        <v>379.56</v>
      </c>
      <c r="E18" s="11" t="n">
        <v>427.26</v>
      </c>
      <c r="F18" s="11" t="n">
        <v>268.74</v>
      </c>
      <c r="G18" s="11" t="n">
        <v>501.79</v>
      </c>
      <c r="H18" s="11" t="n">
        <v>0</v>
      </c>
      <c r="I18" s="11" t="n">
        <v>0</v>
      </c>
      <c r="J18" s="11" t="n">
        <v>0</v>
      </c>
      <c r="K18" s="11" t="n">
        <v>0</v>
      </c>
      <c r="L18" s="43">
        <f>(696-I18-J18-K18-F18)/(696-I18-J18-K18)%</f>
        <v/>
      </c>
      <c r="M18" s="26" t="n"/>
    </row>
    <row r="19">
      <c r="A19" s="2" t="inlineStr">
        <is>
          <t>15#</t>
        </is>
      </c>
      <c r="B19" s="10" t="n">
        <v>238748</v>
      </c>
      <c r="C19" s="10" t="n">
        <v>409715</v>
      </c>
      <c r="D19" s="11" t="n">
        <v>551.84</v>
      </c>
      <c r="E19" s="11" t="n">
        <v>593.96</v>
      </c>
      <c r="F19" s="11" t="n">
        <v>102.04</v>
      </c>
      <c r="G19" s="11" t="n">
        <v>567.0913</v>
      </c>
      <c r="H19" s="11" t="n">
        <v>0</v>
      </c>
      <c r="I19" s="11" t="n">
        <v>0</v>
      </c>
      <c r="J19" s="11" t="n">
        <v>0</v>
      </c>
      <c r="K19" s="11" t="n">
        <v>0</v>
      </c>
      <c r="L19" s="43">
        <f>(696-I19-J19-K19-F19)/(696-I19-J19-K19)%</f>
        <v/>
      </c>
      <c r="M19" s="26" t="n"/>
    </row>
    <row r="20">
      <c r="A20" s="2" t="inlineStr">
        <is>
          <t>16#</t>
        </is>
      </c>
      <c r="B20" s="10" t="n">
        <v>6420</v>
      </c>
      <c r="C20" s="10" t="n">
        <v>138945</v>
      </c>
      <c r="D20" s="11" t="n">
        <v>61.04</v>
      </c>
      <c r="E20" s="11" t="n">
        <v>263.78</v>
      </c>
      <c r="F20" s="11" t="n">
        <v>432.22</v>
      </c>
      <c r="G20" s="11" t="n">
        <v>423.66</v>
      </c>
      <c r="H20" s="11" t="n">
        <v>0</v>
      </c>
      <c r="I20" s="11" t="n">
        <v>0</v>
      </c>
      <c r="J20" s="11" t="n">
        <v>0</v>
      </c>
      <c r="K20" s="11" t="n">
        <v>0</v>
      </c>
      <c r="L20" s="43">
        <f>(696-I20-J20-K20-F20)/(696-I20-J20-K20)%</f>
        <v/>
      </c>
      <c r="M20" s="26" t="n"/>
    </row>
    <row r="21">
      <c r="A21" s="2" t="inlineStr">
        <is>
          <t>17#</t>
        </is>
      </c>
      <c r="B21" s="10" t="n">
        <v>285420</v>
      </c>
      <c r="C21" s="10" t="n">
        <v>485812</v>
      </c>
      <c r="D21" s="11" t="n">
        <v>654.49</v>
      </c>
      <c r="E21" s="11" t="n">
        <v>696</v>
      </c>
      <c r="F21" s="11" t="n">
        <v>0</v>
      </c>
      <c r="G21" s="11" t="n">
        <v>601.89</v>
      </c>
      <c r="H21" s="11" t="n">
        <v>0</v>
      </c>
      <c r="I21" s="11" t="n">
        <v>0</v>
      </c>
      <c r="J21" s="11" t="n">
        <v>0</v>
      </c>
      <c r="K21" s="11" t="n">
        <v>0</v>
      </c>
      <c r="L21" s="43">
        <f>(696-I21-J21-K21-F21)/(696-I21-J21-K21)%</f>
        <v/>
      </c>
      <c r="M21" s="26" t="n"/>
    </row>
    <row r="22">
      <c r="A22" s="2" t="inlineStr">
        <is>
          <t>18#</t>
        </is>
      </c>
      <c r="B22" s="10" t="n">
        <v>12944</v>
      </c>
      <c r="C22" s="10" t="n">
        <v>170862</v>
      </c>
      <c r="D22" s="11" t="n">
        <v>22.78</v>
      </c>
      <c r="E22" s="11" t="n">
        <v>214.51</v>
      </c>
      <c r="F22" s="11" t="n">
        <v>481.49</v>
      </c>
      <c r="G22" s="11" t="n">
        <v>349.795</v>
      </c>
      <c r="H22" s="11" t="n">
        <v>0</v>
      </c>
      <c r="I22" s="11" t="n">
        <v>0</v>
      </c>
      <c r="J22" s="11" t="n">
        <v>0</v>
      </c>
      <c r="K22" s="11" t="n">
        <v>0</v>
      </c>
      <c r="L22" s="43">
        <f>(696-I22-J22-K22-F22)/(696-I22-J22-K22)%</f>
        <v/>
      </c>
      <c r="M22" s="26" t="n"/>
    </row>
    <row r="23">
      <c r="A23" s="2" t="inlineStr">
        <is>
          <t>19#</t>
        </is>
      </c>
      <c r="B23" s="10" t="n">
        <v>0</v>
      </c>
      <c r="C23" s="10" t="n">
        <v>0</v>
      </c>
      <c r="D23" s="11" t="n">
        <v>0</v>
      </c>
      <c r="E23" s="11" t="n">
        <v>0</v>
      </c>
      <c r="F23" s="11" t="n">
        <v>696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43">
        <f>(696-I23-J23-K23-F23)/(696-I23-J23-K23)%</f>
        <v/>
      </c>
      <c r="M23" s="26" t="n"/>
    </row>
    <row r="24">
      <c r="A24" s="2" t="inlineStr">
        <is>
          <t>20#</t>
        </is>
      </c>
      <c r="B24" s="10" t="n">
        <v>56900</v>
      </c>
      <c r="C24" s="10" t="n">
        <v>109823</v>
      </c>
      <c r="D24" s="11" t="n">
        <v>0</v>
      </c>
      <c r="E24" s="11" t="n">
        <v>696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43">
        <f>(696-I24-J24-K24-F24)/(696-I24-J24-K24)%</f>
        <v/>
      </c>
      <c r="M24" s="26" t="n"/>
    </row>
    <row r="25">
      <c r="A25" s="2" t="inlineStr">
        <is>
          <t>21#</t>
        </is>
      </c>
      <c r="B25" s="10" t="n">
        <v>57000</v>
      </c>
      <c r="C25" s="10" t="n">
        <v>62175</v>
      </c>
      <c r="D25" s="11" t="n">
        <v>0</v>
      </c>
      <c r="E25" s="11" t="n">
        <v>696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43">
        <f>(696-I25-J25-K25-F25)/(696-I25-J25-K25)%</f>
        <v/>
      </c>
      <c r="M25" s="26" t="n"/>
    </row>
    <row r="26">
      <c r="A26" s="2" t="inlineStr">
        <is>
          <t>22#</t>
        </is>
      </c>
      <c r="B26" s="10" t="n">
        <v>59900</v>
      </c>
      <c r="C26" s="10" t="n">
        <v>111670</v>
      </c>
      <c r="D26" s="11" t="n">
        <v>0</v>
      </c>
      <c r="E26" s="11" t="n">
        <v>696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43">
        <f>(696-I26-J26-K26-F26)/(696-I26-J26-K26)%</f>
        <v/>
      </c>
      <c r="M26" s="26" t="n"/>
    </row>
    <row r="27">
      <c r="A27" s="2" t="inlineStr">
        <is>
          <t>23#</t>
        </is>
      </c>
      <c r="B27" s="10" t="n">
        <v>0</v>
      </c>
      <c r="C27" s="10" t="n">
        <v>25583</v>
      </c>
      <c r="D27" s="11" t="n">
        <v>0</v>
      </c>
      <c r="E27" s="11" t="n">
        <v>0</v>
      </c>
      <c r="F27" s="11" t="n">
        <v>696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43">
        <f>(696-I27-J27-K27-F27)/(696-I27-J27-K27)%</f>
        <v/>
      </c>
      <c r="M27" s="26" t="n"/>
    </row>
    <row r="28">
      <c r="A28" s="2" t="inlineStr">
        <is>
          <t>24#</t>
        </is>
      </c>
      <c r="B28" s="10" t="n">
        <v>83800</v>
      </c>
      <c r="C28" s="10" t="n">
        <v>199165</v>
      </c>
      <c r="D28" s="11" t="n">
        <v>0</v>
      </c>
      <c r="E28" s="11" t="n">
        <v>696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43">
        <f>(696-I28-J28-K28-F28)/(696-I28-J28-K28)%</f>
        <v/>
      </c>
      <c r="M28" s="26" t="n"/>
    </row>
    <row r="29">
      <c r="A29" s="2" t="inlineStr">
        <is>
          <t>25#</t>
        </is>
      </c>
      <c r="B29" s="10" t="n">
        <v>63500</v>
      </c>
      <c r="C29" s="10" t="n">
        <v>166499</v>
      </c>
      <c r="D29" s="11" t="n">
        <v>0</v>
      </c>
      <c r="E29" s="11" t="n">
        <v>696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43">
        <f>(696-I29-J29-K29-F29)/(696-I29-J29-K29)%</f>
        <v/>
      </c>
      <c r="M29" s="26" t="n"/>
    </row>
    <row r="30">
      <c r="A30" s="2" t="inlineStr">
        <is>
          <t>26#</t>
        </is>
      </c>
      <c r="B30" s="10" t="n">
        <v>83700</v>
      </c>
      <c r="C30" s="10" t="n">
        <v>219442</v>
      </c>
      <c r="D30" s="11" t="n">
        <v>0</v>
      </c>
      <c r="E30" s="11" t="n">
        <v>696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43">
        <f>(696-I30-J30-K30-F30)/(696-I30-J30-K30)%</f>
        <v/>
      </c>
      <c r="M30" s="26" t="n"/>
    </row>
    <row r="31">
      <c r="A31" s="2" t="inlineStr">
        <is>
          <t>27#</t>
        </is>
      </c>
      <c r="B31" s="10" t="n">
        <v>93600</v>
      </c>
      <c r="C31" s="10" t="n">
        <v>198767</v>
      </c>
      <c r="D31" s="11" t="n">
        <v>0</v>
      </c>
      <c r="E31" s="11" t="n">
        <v>696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43">
        <f>(696-I31-J31-K31-F31)/(696-I31-J31-K31)%</f>
        <v/>
      </c>
      <c r="M31" s="26" t="n"/>
    </row>
    <row r="32">
      <c r="A32" s="2" t="inlineStr">
        <is>
          <t>28#</t>
        </is>
      </c>
      <c r="B32" s="10" t="n">
        <v>0</v>
      </c>
      <c r="C32" s="10" t="n">
        <v>0</v>
      </c>
      <c r="D32" s="11" t="n">
        <v>0</v>
      </c>
      <c r="E32" s="11" t="n">
        <v>0</v>
      </c>
      <c r="F32" s="11" t="n">
        <v>696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43">
        <f>(696-I32-J32-K32-F32)/(696-I32-J32-K32)%</f>
        <v/>
      </c>
      <c r="M32" s="26" t="n"/>
    </row>
    <row r="33">
      <c r="A33" s="2" t="inlineStr">
        <is>
          <t>29#</t>
        </is>
      </c>
      <c r="B33" s="10" t="n">
        <v>0</v>
      </c>
      <c r="C33" s="10" t="n">
        <v>49216</v>
      </c>
      <c r="D33" s="11" t="n">
        <v>0</v>
      </c>
      <c r="E33" s="11" t="n">
        <v>0</v>
      </c>
      <c r="F33" s="11" t="n">
        <v>696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43">
        <f>(696-I33-J33-K33-F33)/(696-I33-J33-K33)%</f>
        <v/>
      </c>
      <c r="M33" s="26" t="n"/>
    </row>
    <row r="34">
      <c r="A34" s="2" t="inlineStr">
        <is>
          <t>30#</t>
        </is>
      </c>
      <c r="B34" s="10" t="n">
        <v>93983</v>
      </c>
      <c r="C34" s="10" t="n">
        <v>240957</v>
      </c>
      <c r="D34" s="11" t="n">
        <v>0</v>
      </c>
      <c r="E34" s="11" t="n">
        <v>696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43">
        <f>(696-I34-J34-K34-F34)/(696-I34-J34-K34)%</f>
        <v/>
      </c>
      <c r="M34" s="26" t="n"/>
    </row>
    <row r="35">
      <c r="A35" s="2" t="inlineStr">
        <is>
          <t>Statistical value</t>
        </is>
      </c>
      <c r="B35" s="12">
        <f>SUM(B5:B34)</f>
        <v/>
      </c>
      <c r="C35" s="44">
        <f>SUM(C5:C34)</f>
        <v/>
      </c>
      <c r="D35" s="12">
        <f>SUM(D5:D34)</f>
        <v/>
      </c>
      <c r="E35" s="12">
        <f>SUM(E5:E34)</f>
        <v/>
      </c>
      <c r="F35" s="12">
        <f>SUM(F5:F34)</f>
        <v/>
      </c>
      <c r="G35" s="45">
        <f>SUM(G5:G34)</f>
        <v/>
      </c>
      <c r="H35" s="12">
        <f>SUM(H5:H34)</f>
        <v/>
      </c>
      <c r="I35" s="12">
        <f>SUM(I5:I34)</f>
        <v/>
      </c>
      <c r="J35" s="12">
        <f>SUM(J5:J34)</f>
        <v/>
      </c>
      <c r="K35" s="12">
        <f>SUM(K5:K34)</f>
        <v/>
      </c>
      <c r="L35" s="43">
        <f>AVERAGE(L5:L34)</f>
        <v/>
      </c>
      <c r="M35" s="26" t="n"/>
    </row>
    <row r="36">
      <c r="A36" s="46" t="n"/>
      <c r="B36" s="15" t="inlineStr">
        <is>
          <t>Cumulative amount</t>
        </is>
      </c>
      <c r="C36" s="15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5" t="inlineStr">
        <is>
          <t>average value</t>
        </is>
      </c>
      <c r="M36" s="26" t="n"/>
    </row>
    <row r="37">
      <c r="A37" s="2" t="n"/>
      <c r="B37" s="15" t="inlineStr">
        <is>
          <t>(kwh)</t>
        </is>
      </c>
      <c r="C37" s="17" t="inlineStr">
        <is>
          <t>this month</t>
        </is>
      </c>
      <c r="D37" s="17" t="inlineStr">
        <is>
          <t>this year</t>
        </is>
      </c>
      <c r="E37" s="18" t="inlineStr">
        <is>
          <t>Machine communications are interrupted due to corrupted communications.</t>
        </is>
      </c>
      <c r="F37" s="33" t="n"/>
      <c r="G37" s="33" t="n"/>
      <c r="H37" s="33" t="n"/>
      <c r="I37" s="33" t="n"/>
      <c r="J37" s="33" t="n"/>
      <c r="K37" s="33" t="n"/>
      <c r="L37" s="34" t="n"/>
      <c r="M37" s="30" t="n"/>
      <c r="N37" s="26" t="n"/>
    </row>
    <row r="38">
      <c r="A38" s="41" t="n"/>
      <c r="B38" s="15" t="inlineStr">
        <is>
          <t>Outgoing power</t>
        </is>
      </c>
      <c r="C38" s="19" t="n">
        <v>3079440</v>
      </c>
      <c r="D38" s="19" t="n">
        <v>5610360</v>
      </c>
      <c r="E38" s="47" t="n"/>
      <c r="L38" s="48" t="n"/>
      <c r="M38" s="30" t="n"/>
      <c r="N38" s="26" t="n"/>
    </row>
    <row r="39" s="32">
      <c r="A39" s="41" t="n"/>
      <c r="B39" s="15" t="inlineStr">
        <is>
          <t>End of game power</t>
        </is>
      </c>
      <c r="C39" s="49" t="n">
        <v>17220</v>
      </c>
      <c r="D39" s="49" t="n">
        <v>63840</v>
      </c>
      <c r="E39" s="47" t="n"/>
      <c r="L39" s="48" t="n"/>
      <c r="M39" s="30" t="n"/>
      <c r="N39" s="26" t="n"/>
    </row>
    <row r="40" s="32">
      <c r="A40" s="41" t="n"/>
      <c r="B40" s="15" t="inlineStr">
        <is>
          <t>Power generation</t>
        </is>
      </c>
      <c r="C40" s="50">
        <f>B35</f>
        <v/>
      </c>
      <c r="D40" s="50">
        <f>C35</f>
        <v/>
      </c>
      <c r="E40" s="47" t="n"/>
      <c r="L40" s="48" t="n"/>
      <c r="M40" s="30" t="n"/>
      <c r="N40" s="26" t="n"/>
    </row>
    <row r="41" ht="24" customHeight="1" s="32">
      <c r="A41" s="41" t="n"/>
      <c r="B41" s="15" t="inlineStr">
        <is>
          <t>Comprehensive site electricity consumption</t>
        </is>
      </c>
      <c r="C41" s="51">
        <f>C40-C38+C39</f>
        <v/>
      </c>
      <c r="D41" s="50">
        <f>D40-D38+D39</f>
        <v/>
      </c>
      <c r="E41" s="47" t="n"/>
      <c r="L41" s="48" t="n"/>
      <c r="M41" s="30" t="n"/>
      <c r="N41" s="26" t="n"/>
    </row>
    <row r="42" ht="24" customHeight="1" s="32">
      <c r="A42" s="41" t="n"/>
      <c r="B42" s="15" t="inlineStr">
        <is>
          <t>Comprehensive field electricity consumption rate</t>
        </is>
      </c>
      <c r="C42" s="23">
        <f>SUM(C41/C40)</f>
        <v/>
      </c>
      <c r="D42" s="23">
        <f>SUM(D41/D40)</f>
        <v/>
      </c>
      <c r="E42" s="37" t="n"/>
      <c r="F42" s="38" t="n"/>
      <c r="G42" s="38" t="n"/>
      <c r="H42" s="38" t="n"/>
      <c r="I42" s="38" t="n"/>
      <c r="J42" s="38" t="n"/>
      <c r="K42" s="38" t="n"/>
      <c r="L42" s="39" t="n"/>
      <c r="M42" s="30" t="n"/>
      <c r="N42" s="26" t="n"/>
    </row>
    <row r="43">
      <c r="A43" s="46" t="n"/>
      <c r="B43" s="15" t="inlineStr">
        <is>
          <t>Unsettled electricity</t>
        </is>
      </c>
      <c r="C43" s="17">
        <f>C38</f>
        <v/>
      </c>
      <c r="D43" s="36" t="n"/>
      <c r="E43" s="17" t="n"/>
      <c r="F43" s="52" t="n">
        <v>7.16</v>
      </c>
      <c r="G43" s="43" t="inlineStr">
        <is>
          <t>m/s</t>
        </is>
      </c>
      <c r="H43" s="43" t="n"/>
      <c r="I43" s="43" t="n"/>
      <c r="J43" s="43" t="n"/>
      <c r="K43" s="43" t="n"/>
      <c r="L43" s="43" t="n"/>
      <c r="M43" s="30" t="n"/>
      <c r="N43" s="26" t="n"/>
    </row>
  </sheetData>
  <mergeCells count="16">
    <mergeCell ref="C43:D43"/>
    <mergeCell ref="A35:A36"/>
    <mergeCell ref="B3:C3"/>
    <mergeCell ref="H3:K3"/>
    <mergeCell ref="A3:A4"/>
    <mergeCell ref="G2:K2"/>
    <mergeCell ref="E3:E4"/>
    <mergeCell ref="G1:K1"/>
    <mergeCell ref="G3:G4"/>
    <mergeCell ref="A37:A43"/>
    <mergeCell ref="D3:D4"/>
    <mergeCell ref="F3:F4"/>
    <mergeCell ref="L3:L4"/>
    <mergeCell ref="A1:E2"/>
    <mergeCell ref="H4:I4"/>
    <mergeCell ref="E37:L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changzhi wang</dc:creator>
  <dcterms:created xsi:type="dcterms:W3CDTF">2023-05-12T11:15:00Z</dcterms:created>
  <dcterms:modified xsi:type="dcterms:W3CDTF">2025-12-01T21:05:55Z</dcterms:modified>
  <cp:lastModifiedBy>WPS_1602940927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2052-12.1.0.21541</vt:lpwstr>
  </property>
  <property name="ICV" fmtid="{D5CDD505-2E9C-101B-9397-08002B2CF9AE}" pid="3">
    <vt:lpwstr>D394BD4024074BE2ACC50A3E05196436_12</vt:lpwstr>
  </property>
</Properties>
</file>