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Banbu Chuanwazi underwriting s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.00;&quot;￥&quot;\-#,##0.00"/>
  </numFmts>
  <fonts count="26">
    <font>
      <name val="宋体"/>
      <charset val="134"/>
      <color theme="1"/>
      <sz val="11"/>
      <scheme val="minor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sz val="10"/>
    </font>
    <font>
      <name val="微软雅黑"/>
      <charset val="134"/>
      <color rgb="FF000000"/>
      <sz val="11"/>
    </font>
    <font>
      <name val="微软雅黑"/>
      <charset val="134"/>
      <color indexed="8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C7E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7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8" borderId="8" applyAlignment="1">
      <alignment vertical="center"/>
    </xf>
    <xf numFmtId="0" fontId="16" fillId="9" borderId="9" applyAlignment="1">
      <alignment vertical="center"/>
    </xf>
    <xf numFmtId="0" fontId="17" fillId="9" borderId="8" applyAlignment="1">
      <alignment vertical="center"/>
    </xf>
    <xf numFmtId="0" fontId="18" fillId="10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3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theme="9" tint="0.4"/>
    <outlinePr summaryBelow="1" summaryRight="1"/>
    <pageSetUpPr/>
  </sheetPr>
  <dimension ref="A1:W10"/>
  <sheetViews>
    <sheetView tabSelected="1" zoomScale="80" zoomScaleNormal="80"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9" defaultRowHeight="16.2"/>
  <cols>
    <col width="7.12962962962963" customWidth="1" style="2" min="1" max="1"/>
    <col width="9" customWidth="1" style="2" min="2" max="4"/>
    <col width="24.1296296296296" customWidth="1" style="2" min="5" max="5"/>
    <col width="20.6296296296296" customWidth="1" style="2" min="6" max="6"/>
    <col width="16.75" customWidth="1" style="2" min="7" max="7"/>
    <col width="25.8796296296296" customWidth="1" style="2" min="8" max="8"/>
    <col width="14.3796296296296" customWidth="1" style="2" min="9" max="9"/>
    <col width="9" customWidth="1" style="2" min="10" max="12"/>
    <col width="16.5555555555556" customWidth="1" style="3" min="13" max="15"/>
    <col width="14" customWidth="1" style="36" min="16" max="17"/>
    <col width="12.5092592592593" customWidth="1" style="36" min="18" max="18"/>
    <col width="11.75" customWidth="1" style="37" min="19" max="19"/>
    <col width="11.75" customWidth="1" style="2" min="20" max="20"/>
    <col width="20.1296296296296" customWidth="1" style="6" min="21" max="21"/>
    <col width="9" customWidth="1" style="2" min="22" max="22"/>
    <col width="10.2222222222222" customWidth="1" style="2" min="23" max="23"/>
    <col width="9" customWidth="1" style="2" min="24" max="16384"/>
  </cols>
  <sheetData>
    <row r="1" ht="42" customFormat="1" customHeight="1" s="1">
      <c r="A1" s="7" t="inlineStr">
        <is>
          <t>serial number</t>
        </is>
      </c>
      <c r="B1" s="7" t="inlineStr">
        <is>
          <t>brand</t>
        </is>
      </c>
      <c r="C1" s="7" t="inlineStr">
        <is>
          <t>Product code</t>
        </is>
      </c>
      <c r="D1" s="7" t="inlineStr">
        <is>
          <t>barcode</t>
        </is>
      </c>
      <c r="E1" s="7" t="inlineStr">
        <is>
          <t>Product name</t>
        </is>
      </c>
      <c r="F1" s="7" t="inlineStr">
        <is>
          <t>picture</t>
        </is>
      </c>
      <c r="G1" s="7" t="inlineStr">
        <is>
          <t>Product introduction</t>
        </is>
      </c>
      <c r="H1" s="7" t="inlineStr">
        <is>
          <t>Specification</t>
        </is>
      </c>
      <c r="I1" s="7" t="inlineStr">
        <is>
          <t>Product packaging specifications</t>
        </is>
      </c>
      <c r="J1" s="7" t="inlineStr">
        <is>
          <t>product unit</t>
        </is>
      </c>
      <c r="K1" s="7" t="inlineStr">
        <is>
          <t>Box regulations</t>
        </is>
      </c>
      <c r="L1" s="7" t="inlineStr">
        <is>
          <t>Ordering unit</t>
        </is>
      </c>
      <c r="M1" s="38" t="inlineStr">
        <is>
          <t>cost price</t>
        </is>
      </c>
      <c r="N1" s="38" t="inlineStr">
        <is>
          <t>clearance price</t>
        </is>
      </c>
      <c r="O1" s="38" t="inlineStr">
        <is>
          <t>VIP large channel dropshipping price</t>
        </is>
      </c>
      <c r="P1" s="39" t="inlineStr">
        <is>
          <t>First-level distribution price (drop shipping)</t>
        </is>
      </c>
      <c r="Q1" s="39" t="inlineStr">
        <is>
          <t>Secondary distribution price (drop shipping)</t>
        </is>
      </c>
      <c r="R1" s="39" t="inlineStr">
        <is>
          <t>Platform selling price</t>
        </is>
      </c>
      <c r="S1" s="39" t="inlineStr">
        <is>
          <t>Jingdong price</t>
        </is>
      </c>
      <c r="T1" s="7" t="inlineStr">
        <is>
          <t>JD link</t>
        </is>
      </c>
      <c r="U1" s="7" t="inlineStr">
        <is>
          <t>Shipping fee - remote areas (Xinjiang, Tibet, Hainan, Inner Mongolia)</t>
        </is>
      </c>
    </row>
    <row r="2" ht="90" customFormat="1" customHeight="1" s="2">
      <c r="A2" s="30" t="n">
        <v>1</v>
      </c>
      <c r="B2" s="40" t="inlineStr">
        <is>
          <t>Banbu</t>
        </is>
      </c>
      <c r="C2" s="10" t="n"/>
      <c r="D2" s="10" t="n"/>
      <c r="E2" s="11" t="inlineStr">
        <is>
          <t>Banbu &amp; Panda Weekend Series Handkerchief Paper 12 Pack</t>
        </is>
      </c>
      <c r="F2" s="11">
        <f>_xlfn.DISPIMG("ID_336B6880523841EF9F76D7B0E201EB2E",1)</f>
        <v/>
      </c>
      <c r="G2" s="11" t="inlineStr">
        <is>
          <t>Banbu paper has a patent for biorefining technology. The bamboo kun extracted from bamboo has antibacterial, antibacterial, mite removal, anti-odor and anti-ultraviolet functions;
The unique design of the co-branded Panda Weekend is both trendy and reflects Chengdu’s comfortable attitude towards life.</t>
        </is>
      </c>
      <c r="H2" s="26" t="inlineStr">
        <is>
          <t>200mm*200mm*4 layers*8 pieces/pack
8.47kg/carton</t>
        </is>
      </c>
      <c r="I2" s="26" t="inlineStr">
        <is>
          <t>12 packs/strip</t>
        </is>
      </c>
      <c r="J2" s="11" t="inlineStr">
        <is>
          <t>strip</t>
        </is>
      </c>
      <c r="K2" s="11" t="n">
        <v>36</v>
      </c>
      <c r="L2" s="30" t="inlineStr">
        <is>
          <t>strip</t>
        </is>
      </c>
      <c r="M2" s="41" t="n">
        <v>5.82</v>
      </c>
      <c r="N2" s="41" t="n">
        <v>6</v>
      </c>
      <c r="O2" s="41" t="n">
        <v>5.568</v>
      </c>
      <c r="P2" s="42">
        <f>O2*1.1</f>
        <v/>
      </c>
      <c r="Q2" s="42">
        <f>P2*1.1</f>
        <v/>
      </c>
      <c r="R2" s="42" t="n">
        <v>9.9</v>
      </c>
      <c r="S2" s="43" t="n">
        <v>13.9</v>
      </c>
      <c r="T2" s="10" t="n"/>
      <c r="U2" s="30" t="n">
        <v>11</v>
      </c>
    </row>
    <row r="3" ht="90" customFormat="1" customHeight="1" s="2">
      <c r="A3" s="44" t="n"/>
      <c r="B3" s="45" t="n"/>
      <c r="C3" s="10" t="n"/>
      <c r="D3" s="10" t="n"/>
      <c r="E3" s="11" t="inlineStr">
        <is>
          <t>Banbu &amp; Panda Weekend Series Handkerchief Paper 36 Pack</t>
        </is>
      </c>
      <c r="F3" s="44" t="n"/>
      <c r="G3" s="44" t="n"/>
      <c r="H3" s="44" t="n"/>
      <c r="I3" s="26" t="inlineStr">
        <is>
          <t>3 strips/36 packs</t>
        </is>
      </c>
      <c r="J3" s="11" t="inlineStr">
        <is>
          <t>box</t>
        </is>
      </c>
      <c r="K3" s="11" t="inlineStr">
        <is>
          <t>/</t>
        </is>
      </c>
      <c r="L3" s="30" t="inlineStr">
        <is>
          <t>box</t>
        </is>
      </c>
      <c r="M3" s="41" t="n">
        <v>14.7</v>
      </c>
      <c r="N3" s="41" t="n">
        <v>15</v>
      </c>
      <c r="O3" s="41" t="n">
        <v>12.71</v>
      </c>
      <c r="P3" s="42">
        <f>O3*1.1</f>
        <v/>
      </c>
      <c r="Q3" s="42">
        <f>P3*1.1</f>
        <v/>
      </c>
      <c r="R3" s="42" t="n">
        <v>18.9</v>
      </c>
      <c r="S3" s="43" t="n">
        <v>19.9</v>
      </c>
      <c r="T3" s="10" t="n"/>
      <c r="U3" s="30" t="n">
        <v>11</v>
      </c>
      <c r="V3" s="2" t="n">
        <v>970</v>
      </c>
      <c r="W3" s="2">
        <f>O3*V3</f>
        <v/>
      </c>
    </row>
    <row r="4" ht="90" customFormat="1" customHeight="1" s="2">
      <c r="A4" s="30" t="n">
        <v>2</v>
      </c>
      <c r="B4" s="45" t="n"/>
      <c r="C4" s="10" t="n"/>
      <c r="D4" s="10" t="n"/>
      <c r="E4" s="11" t="inlineStr">
        <is>
          <t>Banbu &amp; Panda Weekend Series Tissue Paper 6 packs</t>
        </is>
      </c>
      <c r="F4" s="11">
        <f>_xlfn.DISPIMG("ID_DE0D60D4105B4927B863793AEAC47738",1)</f>
        <v/>
      </c>
      <c r="G4" s="11" t="inlineStr">
        <is>
          <t>Banbu paper has a patent for biorefining technology. The bamboo kun extracted from bamboo has antibacterial, antibacterial, mite removal, anti-odor and anti-ultraviolet functions;
The unique design of the co-branded Panda Weekend is both trendy and reflects Chengdu’s comfortable attitude towards life.</t>
        </is>
      </c>
      <c r="H4" s="11" t="inlineStr">
        <is>
          <t>135mm*200mm (3 layers, 100 cigarettes)/pack
9.48kg/carton</t>
        </is>
      </c>
      <c r="I4" s="11" t="inlineStr">
        <is>
          <t>6 bags/carry</t>
        </is>
      </c>
      <c r="J4" s="11" t="inlineStr">
        <is>
          <t>carry</t>
        </is>
      </c>
      <c r="K4" s="11" t="n">
        <v>12</v>
      </c>
      <c r="L4" s="30" t="inlineStr">
        <is>
          <t>carry</t>
        </is>
      </c>
      <c r="M4" s="41" t="n">
        <v>11.3</v>
      </c>
      <c r="N4" s="41" t="n">
        <v>11.5</v>
      </c>
      <c r="O4" s="41" t="n">
        <v>11.3</v>
      </c>
      <c r="P4" s="42">
        <f>O4*1.1</f>
        <v/>
      </c>
      <c r="Q4" s="42">
        <f>P4*1.1</f>
        <v/>
      </c>
      <c r="R4" s="42" t="n">
        <v>19.9</v>
      </c>
      <c r="S4" s="43" t="n">
        <v>24.9</v>
      </c>
      <c r="T4" s="10" t="n"/>
      <c r="U4" s="30" t="n">
        <v>11</v>
      </c>
    </row>
    <row r="5" ht="90" customFormat="1" customHeight="1" s="2">
      <c r="A5" s="44" t="n"/>
      <c r="B5" s="45" t="n"/>
      <c r="C5" s="10" t="n"/>
      <c r="D5" s="10" t="n"/>
      <c r="E5" s="11" t="inlineStr">
        <is>
          <t>Banbu &amp; Panda Weekend Series Tissue Paper 18 packs/box</t>
        </is>
      </c>
      <c r="F5" s="44" t="n"/>
      <c r="G5" s="44" t="n"/>
      <c r="H5" s="44" t="n"/>
      <c r="I5" s="11" t="inlineStr">
        <is>
          <t>18 bags/box</t>
        </is>
      </c>
      <c r="J5" s="11" t="inlineStr">
        <is>
          <t>box</t>
        </is>
      </c>
      <c r="K5" s="11" t="inlineStr">
        <is>
          <t>/</t>
        </is>
      </c>
      <c r="L5" s="30" t="inlineStr">
        <is>
          <t>box</t>
        </is>
      </c>
      <c r="M5" s="41" t="n">
        <v>31.86</v>
      </c>
      <c r="N5" s="41" t="n">
        <v>32</v>
      </c>
      <c r="O5" s="41" t="n">
        <v>31.86</v>
      </c>
      <c r="P5" s="42">
        <f>O5*1.1</f>
        <v/>
      </c>
      <c r="Q5" s="42">
        <f>P5*1.1</f>
        <v/>
      </c>
      <c r="R5" s="42" t="n">
        <v>45.9</v>
      </c>
      <c r="S5" s="43" t="n">
        <v>65.90000000000001</v>
      </c>
      <c r="T5" s="10" t="n"/>
      <c r="U5" s="30" t="n">
        <v>30</v>
      </c>
      <c r="V5" s="2" t="n">
        <v>4829</v>
      </c>
      <c r="W5" s="2">
        <f>O5*V5</f>
        <v/>
      </c>
    </row>
    <row r="6" ht="90" customFormat="1" customHeight="1" s="2">
      <c r="A6" s="30" t="n">
        <v>3</v>
      </c>
      <c r="B6" s="45" t="n"/>
      <c r="C6" s="10" t="n"/>
      <c r="D6" s="10" t="n"/>
      <c r="E6" s="11" t="inlineStr">
        <is>
          <t>Banbu&amp;Panda Weekend Series Rolling Paper 10 rolls 140g/roll</t>
        </is>
      </c>
      <c r="F6" s="11">
        <f>_xlfn.DISPIMG("ID_1FE1A055067E49F2ABCFC7E84A0AFB05",1)</f>
        <v/>
      </c>
      <c r="G6" s="11" t="inlineStr">
        <is>
          <t>Banbu paper has a patent for biorefining technology. The bamboo kun extracted from bamboo has antibacterial, antibacterial, mite removal, anti-odor and anti-ultraviolet functions;
The unique design of the co-branded Panda Weekend is both trendy and reflects Chengdu’s comfortable attitude towards life.</t>
        </is>
      </c>
      <c r="H6" s="11" t="inlineStr">
        <is>
          <t>102mm*110mm (4 layers)/roll
9.19kg/carton</t>
        </is>
      </c>
      <c r="I6" s="11" t="inlineStr">
        <is>
          <t>10 volumes/mention</t>
        </is>
      </c>
      <c r="J6" s="11" t="inlineStr">
        <is>
          <t>carry</t>
        </is>
      </c>
      <c r="K6" s="11" t="n">
        <v>6</v>
      </c>
      <c r="L6" s="30" t="inlineStr">
        <is>
          <t>carry</t>
        </is>
      </c>
      <c r="M6" s="41" t="n">
        <v>20.69</v>
      </c>
      <c r="N6" s="41" t="n">
        <v>21</v>
      </c>
      <c r="O6" s="41" t="n">
        <v>19.69</v>
      </c>
      <c r="P6" s="42">
        <f>O6*1.1</f>
        <v/>
      </c>
      <c r="Q6" s="42">
        <f>P6*1.1</f>
        <v/>
      </c>
      <c r="R6" s="42" t="n">
        <v>28.9</v>
      </c>
      <c r="S6" s="43" t="n">
        <v>35.9</v>
      </c>
      <c r="T6" s="10" t="n"/>
      <c r="U6" s="30" t="n">
        <v>30</v>
      </c>
    </row>
    <row r="7" ht="90" customFormat="1" customHeight="1" s="2">
      <c r="A7" s="44" t="n"/>
      <c r="B7" s="44" t="n"/>
      <c r="C7" s="10" t="n"/>
      <c r="D7" s="10" t="n"/>
      <c r="E7" s="11" t="inlineStr">
        <is>
          <t>Banbu&amp;Panda Weekend Series Rolling Paper 20 rolls 140g/roll</t>
        </is>
      </c>
      <c r="F7" s="44" t="n"/>
      <c r="G7" s="44" t="n"/>
      <c r="H7" s="44" t="n"/>
      <c r="I7" s="11" t="inlineStr">
        <is>
          <t>20 rolls/box</t>
        </is>
      </c>
      <c r="J7" s="11" t="inlineStr">
        <is>
          <t>box</t>
        </is>
      </c>
      <c r="K7" s="11" t="inlineStr">
        <is>
          <t>/</t>
        </is>
      </c>
      <c r="L7" s="30" t="inlineStr">
        <is>
          <t>box</t>
        </is>
      </c>
      <c r="M7" s="41" t="n">
        <v>45.24</v>
      </c>
      <c r="N7" s="41" t="n">
        <v>46</v>
      </c>
      <c r="O7" s="41" t="n">
        <v>44.47</v>
      </c>
      <c r="P7" s="42">
        <f>O7*1.1</f>
        <v/>
      </c>
      <c r="Q7" s="42">
        <f>P7*1.1</f>
        <v/>
      </c>
      <c r="R7" s="42" t="n">
        <v>59.9</v>
      </c>
      <c r="S7" s="43" t="n">
        <v>69.90000000000001</v>
      </c>
      <c r="T7" s="10" t="n"/>
      <c r="U7" s="30" t="n">
        <v>40</v>
      </c>
      <c r="V7" s="2" t="n">
        <v>4610</v>
      </c>
      <c r="W7" s="2">
        <f>O7*V7</f>
        <v/>
      </c>
    </row>
    <row r="8" ht="90" customFormat="1" customHeight="1" s="2">
      <c r="A8" s="30" t="n">
        <v>4</v>
      </c>
      <c r="B8" s="20" t="inlineStr">
        <is>
          <t>Chuanwazi</t>
        </is>
      </c>
      <c r="C8" s="10" t="n"/>
      <c r="D8" s="10" t="n"/>
      <c r="E8" s="21" t="inlineStr">
        <is>
          <t>Sichuan Wazi &amp; Panda Weekend Series Portable Roasted Chili Sauce Small City Souvenirs</t>
        </is>
      </c>
      <c r="F8" s="21" t="n"/>
      <c r="G8" s="22" t="inlineStr">
        <is>
          <t>Sichuan Wazi's roasted pepper sauce is different from the "pickled pepper" raw materials on the market, using fresh peppers as raw materials;</t>
        </is>
      </c>
      <c r="H8" s="30" t="inlineStr">
        <is>
          <t>30g*7pcs</t>
        </is>
      </c>
      <c r="I8" s="11" t="inlineStr">
        <is>
          <t>7 tubes/box</t>
        </is>
      </c>
      <c r="J8" s="29" t="inlineStr">
        <is>
          <t>box</t>
        </is>
      </c>
      <c r="K8" s="30" t="n">
        <v>30</v>
      </c>
      <c r="L8" s="29" t="inlineStr">
        <is>
          <t>box</t>
        </is>
      </c>
      <c r="M8" s="31" t="n"/>
      <c r="N8" s="31" t="n"/>
      <c r="O8" s="31" t="n"/>
      <c r="P8" s="46" t="n">
        <v>15.0555555555556</v>
      </c>
      <c r="Q8" s="47" t="n">
        <v>15.6172839506173</v>
      </c>
      <c r="R8" s="48" t="n">
        <v>19.8</v>
      </c>
      <c r="S8" s="43" t="n">
        <v>21.8</v>
      </c>
      <c r="T8" s="10" t="n"/>
      <c r="U8" s="30" t="n"/>
    </row>
    <row r="9" ht="90" customFormat="1" customHeight="1" s="2">
      <c r="A9" s="30" t="n">
        <v>5</v>
      </c>
      <c r="B9" s="45" t="n"/>
      <c r="C9" s="10" t="n"/>
      <c r="D9" s="10" t="n"/>
      <c r="E9" s="21" t="inlineStr">
        <is>
          <t>Sichuan Wazi &amp; Panda Weekend Series Hot Pot Ingredients Tasted Pack (for 2-4 persons)</t>
        </is>
      </c>
      <c r="F9" s="21" t="n"/>
      <c r="G9" s="22" t="inlineStr">
        <is>
          <t>Butter is used as the raw material to make the hot pot more fragrant. All the ingredients are independently developed. It can be packed for 2-4 people without wasting it. The gift box is more suitable for gift giving.</t>
        </is>
      </c>
      <c r="H9" s="30" t="inlineStr">
        <is>
          <t>888 grams</t>
        </is>
      </c>
      <c r="I9" s="30" t="inlineStr">
        <is>
          <t>box</t>
        </is>
      </c>
      <c r="J9" s="29" t="inlineStr">
        <is>
          <t>box</t>
        </is>
      </c>
      <c r="K9" s="29" t="n">
        <v>11</v>
      </c>
      <c r="L9" s="29" t="inlineStr">
        <is>
          <t>box</t>
        </is>
      </c>
      <c r="M9" s="31" t="n"/>
      <c r="N9" s="31" t="n"/>
      <c r="O9" s="31" t="n"/>
      <c r="P9" s="46" t="n">
        <v>38</v>
      </c>
      <c r="Q9" s="47" t="n">
        <v>41.9753086419753</v>
      </c>
      <c r="R9" s="43" t="n">
        <v>58.25</v>
      </c>
      <c r="S9" s="43" t="n">
        <v>65.8</v>
      </c>
      <c r="T9" s="10" t="n"/>
      <c r="U9" s="30" t="n"/>
    </row>
    <row r="10" ht="90" customFormat="1" customHeight="1" s="2">
      <c r="A10" s="30" t="n">
        <v>6</v>
      </c>
      <c r="B10" s="44" t="n"/>
      <c r="C10" s="10" t="n"/>
      <c r="D10" s="10" t="n"/>
      <c r="E10" s="21" t="inlineStr">
        <is>
          <t>Chuanwazi &amp; Panda Weekend Series Seasoning Gift Box</t>
        </is>
      </c>
      <c r="F10" s="21" t="n"/>
      <c r="G10" s="22" t="inlineStr">
        <is>
          <t>This gift box contains a variety of star products, such as the roasted pepper sauce sold by a leading internet celebrity, selling 500,000 pieces in three minutes, and the Bobo chicken seasoning, which has become popular across the country in recent years. Sichuan Wazi built its own 3A-level factory and is committed to independent research and development and production of compound seasonings. Its quality is consistent and has been well received by the market.</t>
        </is>
      </c>
      <c r="H10" s="23" t="inlineStr">
        <is>
          <t>Sichuan Wazi Sour Soup Beef Seasoning 120g*1 bag
Sichuan Wazi Spicy Hot Pot Seasoning 100g*1 bag
Sichuan Wazi Bobo Chicken Vine Pepper Seasoning 180g*1 bag
Sichuan Wazi Bobo Chicken Spicy Flavor 180g*1 bag
Sichuan Wazi Dry Malatang Spicy Flavor 175g*1 bag
Sichuan Wazi roasted pepper sauce bag (15g*10)*2 bags</t>
        </is>
      </c>
      <c r="I10" s="30" t="inlineStr">
        <is>
          <t>7 bags/box</t>
        </is>
      </c>
      <c r="J10" s="29" t="inlineStr">
        <is>
          <t>box</t>
        </is>
      </c>
      <c r="K10" s="29" t="n">
        <v>4</v>
      </c>
      <c r="L10" s="29" t="inlineStr">
        <is>
          <t>box</t>
        </is>
      </c>
      <c r="M10" s="31" t="n"/>
      <c r="N10" s="31" t="n"/>
      <c r="O10" s="31" t="n"/>
      <c r="P10" s="46" t="n">
        <v>42.7777777777778</v>
      </c>
      <c r="Q10" s="47" t="n">
        <v>47.5308641975309</v>
      </c>
      <c r="R10" s="43" t="n">
        <v>66</v>
      </c>
      <c r="S10" s="43" t="n">
        <v>69.8</v>
      </c>
      <c r="T10" s="10" t="n"/>
      <c r="U10" s="30" t="n"/>
    </row>
  </sheetData>
  <mergeCells count="14">
    <mergeCell ref="A4:A5"/>
    <mergeCell ref="F4:F5"/>
    <mergeCell ref="G4:G5"/>
    <mergeCell ref="H4:H5"/>
    <mergeCell ref="H6:H7"/>
    <mergeCell ref="B2:B7"/>
    <mergeCell ref="G6:G7"/>
    <mergeCell ref="B8:B10"/>
    <mergeCell ref="A2:A3"/>
    <mergeCell ref="A6:A7"/>
    <mergeCell ref="F2:F3"/>
    <mergeCell ref="F6:F7"/>
    <mergeCell ref="H2:H3"/>
    <mergeCell ref="G2:G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quwan</dc:creator>
  <dcterms:created xsi:type="dcterms:W3CDTF">2023-05-12T11:15:00Z</dcterms:created>
  <dcterms:modified xsi:type="dcterms:W3CDTF">2025-12-01T21:05:52Z</dcterms:modified>
  <cp:lastModifiedBy>X.K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2052-12.1.0.19770</vt:lpwstr>
  </property>
  <property name="ICV" fmtid="{D5CDD505-2E9C-101B-9397-08002B2CF9AE}" pid="3">
    <vt:lpwstr>62EDACBCB1BB408CA833D02CFC458D4B_13</vt:lpwstr>
  </property>
</Properties>
</file>